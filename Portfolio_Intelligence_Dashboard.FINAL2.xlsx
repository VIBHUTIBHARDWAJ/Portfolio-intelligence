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xl/webextensions/webextension6.xml" ContentType="application/vnd.ms-office.webextension+xml"/>
  <Override PartName="/xl/webextensions/webextension7.xml" ContentType="application/vnd.ms-office.webextension+xml"/>
  <Override PartName="/xl/webextensions/webextension8.xml" ContentType="application/vnd.ms-office.webextension+xml"/>
  <Override PartName="/xl/webextensions/webextension9.xml" ContentType="application/vnd.ms-office.webextension+xml"/>
  <Override PartName="/xl/webextensions/webextension10.xml" ContentType="application/vnd.ms-office.webextension+xml"/>
  <Override PartName="/xl/webextensions/webextension1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vibhu\"/>
    </mc:Choice>
  </mc:AlternateContent>
  <xr:revisionPtr revIDLastSave="0" documentId="13_ncr:1_{1550ED0B-B28A-4E60-B3F9-B8933D308132}" xr6:coauthVersionLast="47" xr6:coauthVersionMax="47" xr10:uidLastSave="{00000000-0000-0000-0000-000000000000}"/>
  <bookViews>
    <workbookView xWindow="-120" yWindow="-120" windowWidth="19440" windowHeight="10440" tabRatio="859" activeTab="1" xr2:uid="{52BDAC21-C1AA-4CE8-8E8B-7E9167103F93}"/>
  </bookViews>
  <sheets>
    <sheet name="📊 Portfolio Analysis" sheetId="13" r:id="rId1"/>
    <sheet name="AI Signal Engine" sheetId="14" r:id="rId2"/>
    <sheet name="HELPER" sheetId="15" r:id="rId3"/>
    <sheet name="2 CASES" sheetId="16" r:id="rId4"/>
    <sheet name="etf_vs_stock" sheetId="17" r:id="rId5"/>
    <sheet name="SECTOR" sheetId="18" r:id="rId6"/>
    <sheet name="scenario_summary" sheetId="19" r:id="rId7"/>
    <sheet name="PORTFOLIO WACC" sheetId="20" r:id="rId8"/>
    <sheet name="asset_data" sheetId="21" r:id="rId9"/>
    <sheet name="GPT cache" sheetId="22" state="veryHidden" r:id="rId10"/>
    <sheet name="__bpstmp_o5xy01_10" sheetId="12" state="veryHidden" r:id="rId11"/>
  </sheets>
  <definedNames>
    <definedName name="ExternalData_1" localSheetId="1" hidden="1">'AI Signal Engine'!$A$177:$G$182</definedName>
    <definedName name="ExternalData_1" localSheetId="8" hidden="1">asset_data!$A$1:$K$6</definedName>
    <definedName name="ExternalData_2" localSheetId="7" hidden="1">'PORTFOLIO WACC'!$A$1:$F$11</definedName>
    <definedName name="ExternalData_3" localSheetId="6" hidden="1">scenario_summary!$A$1:$C$3</definedName>
    <definedName name="ExternalData_4" localSheetId="5" hidden="1">SECTOR!$A$1:$C$6</definedName>
    <definedName name="ExternalData_5" localSheetId="4" hidden="1">etf_vs_stock!$A$1:$C$4</definedName>
    <definedName name="ExternalData_6" localSheetId="3" hidden="1">'2 CASES'!$A$1:$C$6</definedName>
    <definedName name="solver_eng" localSheetId="2" hidden="1">1</definedName>
    <definedName name="solver_neg" localSheetId="2" hidden="1">1</definedName>
    <definedName name="solver_num" localSheetId="2" hidden="1">0</definedName>
    <definedName name="solver_opt" localSheetId="2" hidden="1">HELPER!$G$5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5" l="1"/>
  <c r="H40" i="13" a="1"/>
  <c r="H40" i="13" s="1"/>
  <c r="H41" i="13" a="1"/>
  <c r="H41" i="13"/>
  <c r="H42" i="13" a="1"/>
  <c r="H42" i="13" s="1"/>
  <c r="H43" i="13" a="1"/>
  <c r="H43" i="13"/>
  <c r="H39" i="13" a="1"/>
  <c r="H39" i="13" s="1"/>
  <c r="B3" i="15" l="1"/>
  <c r="A7" i="15"/>
  <c r="B7" i="15"/>
  <c r="C7" i="15"/>
  <c r="D7" i="15"/>
  <c r="A8" i="15"/>
  <c r="B8" i="15"/>
  <c r="C8" i="15"/>
  <c r="D8" i="15"/>
  <c r="A9" i="15"/>
  <c r="B9" i="15"/>
  <c r="C9" i="15"/>
  <c r="D9" i="15"/>
  <c r="A10" i="15"/>
  <c r="B10" i="15"/>
  <c r="C10" i="15"/>
  <c r="D10" i="15"/>
  <c r="A11" i="15"/>
  <c r="B11" i="15"/>
  <c r="C11" i="15"/>
  <c r="D11" i="15"/>
  <c r="B14" i="15"/>
  <c r="B15" i="15"/>
  <c r="B17" i="15"/>
  <c r="A20" i="14"/>
  <c r="B20" i="14"/>
  <c r="C20" i="14"/>
  <c r="D20" i="14"/>
  <c r="A21" i="14"/>
  <c r="B21" i="14"/>
  <c r="C21" i="14"/>
  <c r="D21" i="14"/>
  <c r="A22" i="14"/>
  <c r="B22" i="14"/>
  <c r="C22" i="14"/>
  <c r="D22" i="14"/>
  <c r="A23" i="14"/>
  <c r="B23" i="14"/>
  <c r="C23" i="14"/>
  <c r="D23" i="14"/>
  <c r="A24" i="14"/>
  <c r="B24" i="14"/>
  <c r="C24" i="14"/>
  <c r="D2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9C6AB8-32D1-4DDA-8CAD-C28A6889F91F}" keepAlive="1" name="Query - 2 CASES" description="Connection to the '2 CASES' query in the workbook." type="5" refreshedVersion="8" background="1" saveData="1">
    <dbPr connection="Provider=Microsoft.Mashup.OleDb.1;Data Source=$Workbook$;Location=&quot;2 CASES&quot;;Extended Properties=&quot;&quot;" command="SELECT * FROM [2 CASES]"/>
  </connection>
  <connection id="2" xr16:uid="{155812FC-09FC-4637-987E-1EEBACAAD7A1}" keepAlive="1" name="Query - 2 CASES (2)" description="Connection to the '2 CASES (2)' query in the workbook." type="5" refreshedVersion="8" background="1" saveData="1">
    <dbPr connection="Provider=Microsoft.Mashup.OleDb.1;Data Source=$Workbook$;Location=&quot;2 CASES (2)&quot;;Extended Properties=&quot;&quot;" command="SELECT * FROM [2 CASES (2)]"/>
  </connection>
  <connection id="3" xr16:uid="{E6661CA6-0F6C-424E-B4A6-F8900D2A87A6}" keepAlive="1" name="Query - asset_data" description="Connection to the 'asset_data' query in the workbook." type="5" refreshedVersion="8" background="1" saveData="1">
    <dbPr connection="Provider=Microsoft.Mashup.OleDb.1;Data Source=$Workbook$;Location=asset_data;Extended Properties=&quot;&quot;" command="SELECT * FROM [asset_data]"/>
  </connection>
  <connection id="4" xr16:uid="{EEBFE9F3-C318-4887-BC34-D7C78682E3EB}" keepAlive="1" name="Query - asset_data (2)" description="Connection to the 'asset_data (2)' query in the workbook." type="5" refreshedVersion="0" background="1">
    <dbPr connection="Provider=Microsoft.Mashup.OleDb.1;Data Source=$Workbook$;Location=&quot;asset_data (2)&quot;;Extended Properties=&quot;&quot;" command="SELECT * FROM [asset_data (2)]"/>
  </connection>
  <connection id="5" xr16:uid="{2D954D68-2F27-49CC-A159-3DE997844D2C}" keepAlive="1" name="Query - asset_data (3)" description="Connection to the 'asset_data (3)' query in the workbook." type="5" refreshedVersion="8" background="1" saveData="1">
    <dbPr connection="Provider=Microsoft.Mashup.OleDb.1;Data Source=$Workbook$;Location=&quot;asset_data (3)&quot;;Extended Properties=&quot;&quot;" command="SELECT * FROM [asset_data (3)]"/>
  </connection>
  <connection id="6" xr16:uid="{E4FAFA2F-958A-40BD-84D2-A5B3ACA60F96}" keepAlive="1" name="Query - etf_vs_stock" description="Connection to the 'etf_vs_stock' query in the workbook." type="5" refreshedVersion="8" background="1" saveData="1">
    <dbPr connection="Provider=Microsoft.Mashup.OleDb.1;Data Source=$Workbook$;Location=etf_vs_stock;Extended Properties=&quot;&quot;" command="SELECT * FROM [etf_vs_stock]"/>
  </connection>
  <connection id="7" xr16:uid="{CDA0DCA8-B815-444E-8BA5-0461A0CF298B}" keepAlive="1" name="Query - etf_vs_stock (2)" description="Connection to the 'etf_vs_stock (2)' query in the workbook." type="5" refreshedVersion="8" background="1" saveData="1">
    <dbPr connection="Provider=Microsoft.Mashup.OleDb.1;Data Source=$Workbook$;Location=&quot;etf_vs_stock (2)&quot;;Extended Properties=&quot;&quot;" command="SELECT * FROM [etf_vs_stock (2)]"/>
  </connection>
  <connection id="8" xr16:uid="{1149BF6D-7C06-43F7-9E8D-67978B57C3DD}" keepAlive="1" name="Query - PORTOLIO WACC" description="Connection to the 'PORTOLIO WACC' query in the workbook." type="5" refreshedVersion="8" background="1" saveData="1">
    <dbPr connection="Provider=Microsoft.Mashup.OleDb.1;Data Source=$Workbook$;Location=&quot;PORTOLIO WACC&quot;;Extended Properties=&quot;&quot;" command="SELECT * FROM [PORTOLIO WACC]"/>
  </connection>
  <connection id="9" xr16:uid="{502154D1-53A6-407F-9204-F23B7DF1424C}" keepAlive="1" name="Query - PORTOLIO WACC (2)" description="Connection to the 'PORTOLIO WACC (2)' query in the workbook." type="5" refreshedVersion="8" background="1" saveData="1">
    <dbPr connection="Provider=Microsoft.Mashup.OleDb.1;Data Source=$Workbook$;Location=&quot;PORTOLIO WACC (2)&quot;;Extended Properties=&quot;&quot;" command="SELECT * FROM [PORTOLIO WACC (2)]"/>
  </connection>
  <connection id="10" xr16:uid="{9775D00E-8ED3-4940-9256-57F51EA79F5D}" keepAlive="1" interval="60" name="Query - Risk_Heatmap_Data" description="Connection to the 'Risk_Heatmap_Data' query in the workbook." type="5" refreshedVersion="8" background="1" saveData="1">
    <dbPr connection="Provider=Microsoft.Mashup.OleDb.1;Data Source=$Workbook$;Location=Risk_Heatmap_Data;Extended Properties=&quot;&quot;" command="SELECT * FROM [Risk_Heatmap_Data]"/>
  </connection>
  <connection id="11" xr16:uid="{0DB21B7C-7501-4ADB-B449-12E40B97B88C}" keepAlive="1" name="Query - scenario_summary" description="Connection to the 'scenario_summary' query in the workbook." type="5" refreshedVersion="8" background="1" saveData="1">
    <dbPr connection="Provider=Microsoft.Mashup.OleDb.1;Data Source=$Workbook$;Location=scenario_summary;Extended Properties=&quot;&quot;" command="SELECT * FROM [scenario_summary]"/>
  </connection>
  <connection id="12" xr16:uid="{04153A5D-5B8F-4AB3-932C-94D82FC4B834}" keepAlive="1" name="Query - scenario_summary (2)" description="Connection to the 'scenario_summary (2)' query in the workbook." type="5" refreshedVersion="8" background="1" saveData="1">
    <dbPr connection="Provider=Microsoft.Mashup.OleDb.1;Data Source=$Workbook$;Location=&quot;scenario_summary (2)&quot;;Extended Properties=&quot;&quot;" command="SELECT * FROM [scenario_summary (2)]"/>
  </connection>
  <connection id="13" xr16:uid="{198FC7C9-2B70-4076-ADA4-5D20B169EF8B}" keepAlive="1" name="Query - SECTOR" description="Connection to the 'SECTOR' query in the workbook." type="5" refreshedVersion="8" background="1" saveData="1">
    <dbPr connection="Provider=Microsoft.Mashup.OleDb.1;Data Source=$Workbook$;Location=SECTOR;Extended Properties=&quot;&quot;" command="SELECT * FROM [SECTOR]"/>
  </connection>
  <connection id="14" xr16:uid="{917E6926-0AE9-4EDB-806F-36E2E03C9E54}" keepAlive="1" name="Query - SECTOR (2)" description="Connection to the 'SECTOR (2)' query in the workbook." type="5" refreshedVersion="0" background="1">
    <dbPr connection="Provider=Microsoft.Mashup.OleDb.1;Data Source=$Workbook$;Location=&quot;SECTOR (2)&quot;;Extended Properties=&quot;&quot;" command="SELECT * FROM [SECTOR (2)]"/>
  </connection>
  <connection id="15" xr16:uid="{70E2F533-C717-4368-973A-810B5EDCF27C}" keepAlive="1" name="Query - SECTOR (3)" description="Connection to the 'SECTOR (3)' query in the workbook." type="5" refreshedVersion="8" background="1" saveData="1">
    <dbPr connection="Provider=Microsoft.Mashup.OleDb.1;Data Source=$Workbook$;Location=&quot;SECTOR (3)&quot;;Extended Properties=&quot;&quot;" command="SELECT * FROM [SECTOR (3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<sst xmlns="http://schemas.openxmlformats.org/spreadsheetml/2006/main" count="208" uniqueCount="120">
  <si>
    <t>AI-Augmented Portfolio Intelligence System</t>
  </si>
  <si>
    <t>Balanced</t>
  </si>
  <si>
    <t>NSE India · Feb–May 2026 · MySQL + CAPM + WACC · ₹1,00,000 Portfolio</t>
  </si>
  <si>
    <t>→ AI Signal Engine</t>
  </si>
  <si>
    <t>PORTFOLIO ALLOCATION  ·  WHERE IS THE MONEY?</t>
  </si>
  <si>
    <t>SCENARIO COMPARISON  ·  SAFETY vs GROWTH?</t>
  </si>
  <si>
    <r>
      <rPr>
        <i/>
        <sz val="18"/>
        <color theme="7" tint="-0.499984740745262"/>
        <rFont val="Times New Roman"/>
        <family val="1"/>
      </rPr>
      <t xml:space="preserve"> +2.05% extra return  </t>
    </r>
    <r>
      <rPr>
        <b/>
        <i/>
        <sz val="18"/>
        <color theme="7" tint="-0.499984740745262"/>
        <rFont val="Times New Roman"/>
        <family val="1"/>
      </rPr>
      <t>·</t>
    </r>
    <r>
      <rPr>
        <i/>
        <sz val="18"/>
        <color theme="7" tint="-0.499984740745262"/>
        <rFont val="Times New Roman"/>
        <family val="1"/>
      </rPr>
      <t xml:space="preserve">  but +45% more market risk  </t>
    </r>
    <r>
      <rPr>
        <b/>
        <i/>
        <sz val="18"/>
        <color theme="7" tint="-0.499984740745262"/>
        <rFont val="Times New Roman"/>
        <family val="1"/>
      </rPr>
      <t>·</t>
    </r>
    <r>
      <rPr>
        <i/>
        <sz val="18"/>
        <color theme="7" tint="-0.499984740745262"/>
        <rFont val="Times New Roman"/>
        <family val="1"/>
      </rPr>
      <t xml:space="preserve"> Balanced wins on risk-adjusted basis</t>
    </r>
  </si>
  <si>
    <t>RISK VERDICT  ·  FULL VOLATILITY CLASSIFICATION</t>
  </si>
  <si>
    <t>asset_name</t>
  </si>
  <si>
    <t>asset_type</t>
  </si>
  <si>
    <t>avg_price</t>
  </si>
  <si>
    <t>max_price</t>
  </si>
  <si>
    <t>min_price</t>
  </si>
  <si>
    <t>vol_percent</t>
  </si>
  <si>
    <t>Risk</t>
  </si>
  <si>
    <t>HDFC Bank Ltd</t>
  </si>
  <si>
    <t>Stock</t>
  </si>
  <si>
    <t>Reliance Industries Ltd</t>
  </si>
  <si>
    <t>Nippon India Nifty BeES ETF</t>
  </si>
  <si>
    <t>Equity ETF</t>
  </si>
  <si>
    <t>Nippon India Gold BeES ETF</t>
  </si>
  <si>
    <t>Commodity ETF</t>
  </si>
  <si>
    <t>Motilal Oswal Silver ETF</t>
  </si>
  <si>
    <t xml:space="preserve">        AI Investment Signal Engine</t>
  </si>
  <si>
    <t>← Portfolio Analysis</t>
  </si>
  <si>
    <t>NSE CSV Data</t>
  </si>
  <si>
    <t>→</t>
  </si>
  <si>
    <t>MySQL Database</t>
  </si>
  <si>
    <t>Power Query</t>
  </si>
  <si>
    <t>Live Investment Intelligence</t>
  </si>
  <si>
    <t>MACRO MARKET CONTEXT · KEY FACTORS DRIVING YOUR PORTFOLIO</t>
  </si>
  <si>
    <t>Asset Name</t>
  </si>
  <si>
    <t>Type</t>
  </si>
  <si>
    <t>3M Return</t>
  </si>
  <si>
    <t>▲▼</t>
  </si>
  <si>
    <t>Sentiment</t>
  </si>
  <si>
    <t>AI Signal</t>
  </si>
  <si>
    <t>Conviction</t>
  </si>
  <si>
    <t>Time Horizon</t>
  </si>
  <si>
    <t>price_range</t>
  </si>
  <si>
    <t>return_3m</t>
  </si>
  <si>
    <t>Scenario Selector</t>
  </si>
  <si>
    <t>Dynamic Weights Table</t>
  </si>
  <si>
    <t xml:space="preserve">Asset Name </t>
  </si>
  <si>
    <t xml:space="preserve"> Weight % </t>
  </si>
  <si>
    <t xml:space="preserve"> Expected Return % </t>
  </si>
  <si>
    <t xml:space="preserve"> Weighted Return</t>
  </si>
  <si>
    <t>KPI Formulas</t>
  </si>
  <si>
    <t>Expected Return %</t>
  </si>
  <si>
    <t>Portfolio Beta</t>
  </si>
  <si>
    <t>ASSETS</t>
  </si>
  <si>
    <t>Gold+Silver %</t>
  </si>
  <si>
    <t>Above Risk-Free %</t>
  </si>
  <si>
    <t>balanced_weight</t>
  </si>
  <si>
    <t>aggressive_weight</t>
  </si>
  <si>
    <t>total_assets</t>
  </si>
  <si>
    <t>average_price</t>
  </si>
  <si>
    <t>sector</t>
  </si>
  <si>
    <t>Banking</t>
  </si>
  <si>
    <t>Energy &amp; Telecom</t>
  </si>
  <si>
    <t>Broad Market</t>
  </si>
  <si>
    <t>Gold</t>
  </si>
  <si>
    <t>Silver</t>
  </si>
  <si>
    <t>portfolio_type</t>
  </si>
  <si>
    <t>expected_return_percent</t>
  </si>
  <si>
    <t>weighted_portfolio_beta</t>
  </si>
  <si>
    <t>Aggressive</t>
  </si>
  <si>
    <t>scenario</t>
  </si>
  <si>
    <t>beta</t>
  </si>
  <si>
    <t>expected_return</t>
  </si>
  <si>
    <t>weight_percent</t>
  </si>
  <si>
    <t>weighted_return</t>
  </si>
  <si>
    <t>asset_id</t>
  </si>
  <si>
    <t>avg_volume</t>
  </si>
  <si>
    <t>total_days</t>
  </si>
  <si>
    <t>invested_amt</t>
  </si>
  <si>
    <t>RBI Repo Rate</t>
  </si>
  <si>
    <t>Source: RBI Feb 2026</t>
  </si>
  <si>
    <t>India VIX</t>
  </si>
  <si>
    <t>Source: NSE India May 2026</t>
  </si>
  <si>
    <t>FII Net Flow</t>
  </si>
  <si>
    <t>+₹8420 Cr</t>
  </si>
  <si>
    <t>Source: NSDL May 2026</t>
  </si>
  <si>
    <t>USD/INR Rate</t>
  </si>
  <si>
    <t>Source: RBI May 2026</t>
  </si>
  <si>
    <t>MACRO INPUT — UPDATE ONLY HERE</t>
  </si>
  <si>
    <t>Bullish</t>
  </si>
  <si>
    <t>INCREASE</t>
  </si>
  <si>
    <t>HIGH ★★★</t>
  </si>
  <si>
    <t>3-6 months</t>
  </si>
  <si>
    <t>STRONG HOLD</t>
  </si>
  <si>
    <t>Neutral</t>
  </si>
  <si>
    <t>HOLD</t>
  </si>
  <si>
    <t>MED ★★☆</t>
  </si>
  <si>
    <t>Bearish</t>
  </si>
  <si>
    <t>HOLD &amp; WATCH</t>
  </si>
  <si>
    <t>LOW ★☆☆</t>
  </si>
  <si>
    <t>1-3 months</t>
  </si>
  <si>
    <t>AI NEWS DIGEST  ·  CHATGPT-GENERATED MARKET INTELLIGENCE PER ASSET</t>
  </si>
  <si>
    <t>REDUCE</t>
  </si>
  <si>
    <t>Cautious</t>
  </si>
  <si>
    <t>📝  PORTFOLIO NARRATIVE &amp; VERDICT</t>
  </si>
  <si>
    <r>
      <rPr>
        <b/>
        <sz val="20"/>
        <color theme="4" tint="-0.499984740745262"/>
        <rFont val="Calibri"/>
        <family val="2"/>
      </rPr>
      <t>HDFC Bank</t>
    </r>
    <r>
      <rPr>
        <sz val="20"/>
        <color rgb="FF000000"/>
        <rFont val="Calibri"/>
        <family val="2"/>
      </rPr>
      <t xml:space="preserve">                                                                              </t>
    </r>
    <r>
      <rPr>
        <sz val="20"/>
        <color rgb="FFFF0000"/>
        <rFont val="Calibri"/>
        <family val="2"/>
      </rPr>
      <t xml:space="preserve"> IMPACT: NEGATIVE</t>
    </r>
    <r>
      <rPr>
        <sz val="20"/>
        <color rgb="FF000000"/>
        <rFont val="Calibri"/>
        <family val="2"/>
      </rPr>
      <t xml:space="preserve">
</t>
    </r>
    <r>
      <rPr>
        <b/>
        <i/>
        <sz val="20"/>
        <color theme="1" tint="4.9989318521683403E-2"/>
        <rFont val="Calibri"/>
        <family val="2"/>
      </rPr>
      <t>Headline: "HDFC Bank underperformance deepens as high beta and weak momentum keep private-bank exposure under pressure"</t>
    </r>
    <r>
      <rPr>
        <sz val="20"/>
        <color rgb="FF000000"/>
        <rFont val="Calibri"/>
        <family val="2"/>
      </rPr>
      <t xml:space="preserve">
</t>
    </r>
    <r>
      <rPr>
        <sz val="20"/>
        <color theme="0" tint="-0.499984740745262"/>
        <rFont val="Calibri"/>
        <family val="2"/>
      </rPr>
      <t xml:space="preserve">Source: Moneycontrol · 35 days ago                     </t>
    </r>
    <r>
      <rPr>
        <sz val="20"/>
        <color rgb="FFC00000"/>
        <rFont val="Calibri"/>
        <family val="2"/>
      </rPr>
      <t xml:space="preserve"> Action: REDUCE position</t>
    </r>
  </si>
  <si>
    <r>
      <rPr>
        <b/>
        <sz val="20"/>
        <color theme="4" tint="-0.499984740745262"/>
        <rFont val="Times New Roman"/>
        <family val="1"/>
      </rPr>
      <t>NiftyBEES ETF</t>
    </r>
    <r>
      <rPr>
        <b/>
        <sz val="20"/>
        <color theme="4" tint="-0.499984740745262"/>
        <rFont val="Calibri"/>
        <family val="2"/>
      </rPr>
      <t xml:space="preserve">                                                                   </t>
    </r>
    <r>
      <rPr>
        <sz val="20"/>
        <color theme="9" tint="-0.499984740745262"/>
        <rFont val="Calibri"/>
        <family val="2"/>
      </rPr>
      <t xml:space="preserve">  IMPACT: POSITIVE</t>
    </r>
    <r>
      <rPr>
        <sz val="20"/>
        <color rgb="FF000000"/>
        <rFont val="Calibri"/>
        <family val="2"/>
      </rPr>
      <t xml:space="preserve">
</t>
    </r>
    <r>
      <rPr>
        <b/>
        <i/>
        <sz val="20"/>
        <color theme="2" tint="-0.749992370372631"/>
        <rFont val="Calibri"/>
        <family val="2"/>
        <scheme val="minor"/>
      </rPr>
      <t>Headline: "NiftyBEES tracks firmer Nifty as FII buying, softer VIX and 6.25% RBI rate support accumulation"</t>
    </r>
    <r>
      <rPr>
        <sz val="20"/>
        <color rgb="FF000000"/>
        <rFont val="Calibri"/>
        <family val="2"/>
      </rPr>
      <t xml:space="preserve">
</t>
    </r>
    <r>
      <rPr>
        <sz val="20"/>
        <color theme="2" tint="-0.499984740745262"/>
        <rFont val="Calibri"/>
        <family val="2"/>
      </rPr>
      <t xml:space="preserve">Source: Business Standard · 20 days ago  </t>
    </r>
    <r>
      <rPr>
        <sz val="20"/>
        <color theme="2" tint="-0.749992370372631"/>
        <rFont val="Calibri"/>
        <family val="2"/>
      </rPr>
      <t xml:space="preserve">                   </t>
    </r>
    <r>
      <rPr>
        <sz val="20"/>
        <color theme="9" tint="-0.499984740745262"/>
        <rFont val="Calibri"/>
        <family val="2"/>
      </rPr>
      <t xml:space="preserve">  Action: ADD on dips</t>
    </r>
  </si>
  <si>
    <r>
      <rPr>
        <b/>
        <sz val="18"/>
        <color theme="8" tint="-0.499984740745262"/>
        <rFont val="Calibri"/>
        <family val="2"/>
      </rPr>
      <t xml:space="preserve">GoldBEES ETF  </t>
    </r>
    <r>
      <rPr>
        <sz val="18"/>
        <color rgb="FF000000"/>
        <rFont val="Calibri"/>
        <family val="2"/>
      </rPr>
      <t xml:space="preserve">                                                          </t>
    </r>
    <r>
      <rPr>
        <sz val="18"/>
        <color theme="9" tint="-0.249977111117893"/>
        <rFont val="Calibri"/>
        <family val="2"/>
      </rPr>
      <t xml:space="preserve">  IMPACT: POSITIVE</t>
    </r>
    <r>
      <rPr>
        <sz val="18"/>
        <color rgb="FF000000"/>
        <rFont val="Calibri"/>
        <family val="2"/>
      </rPr>
      <t xml:space="preserve">
</t>
    </r>
    <r>
      <rPr>
        <b/>
        <i/>
        <sz val="18"/>
        <color theme="2" tint="-0.89999084444715716"/>
        <rFont val="Calibri"/>
        <family val="2"/>
      </rPr>
      <t>Headline: "GoldBEES gains defensive bid as strong three-month returns keep bullion allocations resilient despite calmer equity volatility"</t>
    </r>
    <r>
      <rPr>
        <sz val="18"/>
        <color rgb="FF000000"/>
        <rFont val="Calibri"/>
        <family val="2"/>
      </rPr>
      <t xml:space="preserve">
</t>
    </r>
    <r>
      <rPr>
        <sz val="18"/>
        <color theme="0" tint="-0.499984740745262"/>
        <rFont val="Calibri"/>
        <family val="2"/>
      </rPr>
      <t xml:space="preserve">Source: WisdomTree · 7 days ago                                </t>
    </r>
    <r>
      <rPr>
        <sz val="18"/>
        <color theme="7" tint="-0.249977111117893"/>
        <rFont val="Calibri"/>
        <family val="2"/>
      </rPr>
      <t>Action: HOLD firmly</t>
    </r>
  </si>
  <si>
    <r>
      <rPr>
        <b/>
        <sz val="20"/>
        <color theme="4" tint="-0.249977111117893"/>
        <rFont val="Calibri"/>
        <family val="2"/>
      </rPr>
      <t xml:space="preserve">Reliance Ind. </t>
    </r>
    <r>
      <rPr>
        <sz val="20"/>
        <color rgb="FF000000"/>
        <rFont val="Calibri"/>
        <family val="2"/>
      </rPr>
      <t xml:space="preserve">                                                      </t>
    </r>
    <r>
      <rPr>
        <sz val="20"/>
        <color theme="5" tint="-0.249977111117893"/>
        <rFont val="Calibri"/>
        <family val="2"/>
      </rPr>
      <t xml:space="preserve"> IMPACT: NEUTRAL</t>
    </r>
    <r>
      <rPr>
        <sz val="20"/>
        <color rgb="FF000000"/>
        <rFont val="Calibri"/>
        <family val="2"/>
      </rPr>
      <t xml:space="preserve">
</t>
    </r>
    <r>
      <rPr>
        <b/>
        <i/>
        <sz val="20"/>
        <color rgb="FF000000"/>
        <rFont val="Calibri"/>
        <family val="2"/>
      </rPr>
      <t>Headline: "Reliance stays range-bound as recent profit softness offsets heavyweight support from improving domestic risk appetite"</t>
    </r>
    <r>
      <rPr>
        <sz val="20"/>
        <color rgb="FF000000"/>
        <rFont val="Calibri"/>
        <family val="2"/>
      </rPr>
      <t xml:space="preserve">
</t>
    </r>
    <r>
      <rPr>
        <sz val="18"/>
        <color theme="0" tint="-0.499984740745262"/>
        <rFont val="Calibri"/>
        <family val="2"/>
      </rPr>
      <t xml:space="preserve">Source: Business Standard · 30 days ago  </t>
    </r>
    <r>
      <rPr>
        <sz val="18"/>
        <color rgb="FF000000"/>
        <rFont val="Calibri"/>
        <family val="2"/>
      </rPr>
      <t xml:space="preserve">   </t>
    </r>
    <r>
      <rPr>
        <sz val="18"/>
        <color theme="7" tint="-0.499984740745262"/>
        <rFont val="Calibri"/>
        <family val="2"/>
      </rPr>
      <t>Action: WAIT &amp; WATCH</t>
    </r>
    <r>
      <rPr>
        <sz val="20"/>
        <color rgb="FF000000"/>
        <rFont val="Calibri"/>
        <family val="2"/>
      </rPr>
      <t xml:space="preserve">
</t>
    </r>
  </si>
  <si>
    <r>
      <rPr>
        <sz val="20"/>
        <color theme="4" tint="-0.499984740745262"/>
        <rFont val="Times New Roman"/>
        <family val="1"/>
      </rPr>
      <t>The portfolio reflects a balanced construction, with ₹1,00,000 invested, expected return of 11.49%, and portfolio beta of 0.75, indicating moderated market sensitivity. Performance is led by</t>
    </r>
    <r>
      <rPr>
        <b/>
        <sz val="20"/>
        <color theme="4" tint="-0.499984740745262"/>
        <rFont val="Times New Roman"/>
        <family val="1"/>
      </rPr>
      <t xml:space="preserve"> Nippon India GoldBEES at +24.9%</t>
    </r>
    <r>
      <rPr>
        <sz val="20"/>
        <color theme="4" tint="-0.499984740745262"/>
        <rFont val="Times New Roman"/>
        <family val="1"/>
      </rPr>
      <t xml:space="preserve"> and </t>
    </r>
    <r>
      <rPr>
        <b/>
        <sz val="20"/>
        <color theme="4" tint="-0.499984740745262"/>
        <rFont val="Times New Roman"/>
        <family val="1"/>
      </rPr>
      <t>NiftyBEES at +14.6%,</t>
    </r>
    <r>
      <rPr>
        <sz val="20"/>
        <color theme="4" tint="-0.499984740745262"/>
        <rFont val="Times New Roman"/>
        <family val="1"/>
      </rPr>
      <t xml:space="preserve"> supported by FII net buying of ₹8,420Cr and the RBI’s 25 bps repo cut. The main concern is</t>
    </r>
    <r>
      <rPr>
        <b/>
        <sz val="20"/>
        <color theme="4" tint="-0.499984740745262"/>
        <rFont val="Times New Roman"/>
        <family val="1"/>
      </rPr>
      <t xml:space="preserve"> HDFC Bank, down 26.3%,</t>
    </r>
    <r>
      <rPr>
        <sz val="20"/>
        <color theme="4" tint="-0.499984740745262"/>
        <rFont val="Times New Roman"/>
        <family val="1"/>
      </rPr>
      <t xml:space="preserve"> where rising NPAs and regulatory pressure warrant a reduction in exposure. Secondary risk comes from</t>
    </r>
    <r>
      <rPr>
        <b/>
        <sz val="20"/>
        <color theme="4" tint="-0.499984740745262"/>
        <rFont val="Times New Roman"/>
        <family val="1"/>
      </rPr>
      <t xml:space="preserve"> Reliance Industries, down 12.2%,</t>
    </r>
    <r>
      <rPr>
        <sz val="20"/>
        <color theme="4" tint="-0.499984740745262"/>
        <rFont val="Times New Roman"/>
        <family val="1"/>
      </rPr>
      <t xml:space="preserve"> as Jio ARPU softness and O2C margin pressure could cap near-term upside. Recommendation is to rebalance by reducing</t>
    </r>
    <r>
      <rPr>
        <b/>
        <sz val="20"/>
        <color theme="4" tint="-0.499984740745262"/>
        <rFont val="Times New Roman"/>
        <family val="1"/>
      </rPr>
      <t xml:space="preserve"> HDFC Bank from 20% to 12%</t>
    </r>
    <r>
      <rPr>
        <sz val="20"/>
        <color theme="4" tint="-0.499984740745262"/>
        <rFont val="Times New Roman"/>
        <family val="1"/>
      </rPr>
      <t xml:space="preserve"> and increasing </t>
    </r>
    <r>
      <rPr>
        <b/>
        <sz val="20"/>
        <color theme="4" tint="-0.499984740745262"/>
        <rFont val="Times New Roman"/>
        <family val="1"/>
      </rPr>
      <t>NiftyBEES from 30% to 38%,</t>
    </r>
    <r>
      <rPr>
        <sz val="20"/>
        <color theme="4" tint="-0.499984740745262"/>
        <rFont val="Times New Roman"/>
        <family val="1"/>
      </rPr>
      <t xml:space="preserve"> while retaining a balanced risk profile.                                                                                                                                                                   </t>
    </r>
    <r>
      <rPr>
        <sz val="20"/>
        <color theme="4" tint="-0.499984740745262"/>
        <rFont val="Calibri"/>
        <family val="2"/>
      </rPr>
      <t xml:space="preserve">
</t>
    </r>
    <r>
      <rPr>
        <i/>
        <sz val="20"/>
        <color theme="0" tint="-0.499984740745262"/>
        <rFont val="Calibri Light"/>
        <family val="2"/>
        <scheme val="major"/>
      </rPr>
      <t>Generated by ChatGPT · Based on MySQL 3M price data + Macro context · May 2026 · Not financial advice</t>
    </r>
  </si>
  <si>
    <t>How to Refresh (all sections) | Open ChatGPT sidebar in Excel → click New Chat → paste the relevant prompt above → copy the output → click target cell in Excel → paste → press Enter. Takes 2 minutes per section. | Instruction row only — no paste needed. For interviewer reference only.</t>
  </si>
  <si>
    <t>ChatGPT Prompt Summary (what to ask) | Paste Result Into (cell + format)</t>
  </si>
  <si>
    <r>
      <rPr>
        <sz val="12"/>
        <color rgb="FFFFFFFF"/>
        <rFont val="Times New Roman"/>
        <family val="1"/>
      </rPr>
      <t xml:space="preserve">Data: NSE India · Risk-Free: 7% RBI G-Sec ·  Feb–May 2026                                                                                                                               </t>
    </r>
    <r>
      <rPr>
        <sz val="12"/>
        <color rgb="FFFFD966"/>
        <rFont val="Times New Roman"/>
        <family val="1"/>
      </rPr>
      <t xml:space="preserve">   MySQL + Power Query + Excel + AI → AI Signal Engine</t>
    </r>
  </si>
  <si>
    <r>
      <rPr>
        <b/>
        <sz val="20"/>
        <color theme="4" tint="-0.499984740745262"/>
        <rFont val="Calibri"/>
        <family val="2"/>
        <scheme val="minor"/>
      </rPr>
      <t xml:space="preserve"> · AI Signal Table</t>
    </r>
    <r>
      <rPr>
        <b/>
        <sz val="16"/>
        <color theme="4" tint="-0.499984740745262"/>
        <rFont val="Calibri"/>
        <family val="2"/>
        <scheme val="minor"/>
      </rPr>
      <t xml:space="preserve"> </t>
    </r>
    <r>
      <rPr>
        <sz val="16"/>
        <color theme="2" tint="-0.749992370372631"/>
        <rFont val="Calibri"/>
        <family val="2"/>
        <scheme val="minor"/>
      </rPr>
      <t xml:space="preserve"> Analyse 5 Indian assets (NiftyBEES +14.6%, GoldBEES +24.9%, Silver +2.1%, HDFC -26.3%, Reliance -12.2%). Give Signal, Conviction, and Time Horizon. Macro: RBI 6.25%, VIX 14.2. | Signal (F), Conviction (G), Horizon (H), rows 20–24. Bold, centre-aligned, colour-coded background.</t>
    </r>
  </si>
  <si>
    <r>
      <rPr>
        <b/>
        <sz val="20"/>
        <color theme="4" tint="-0.499984740745262"/>
        <rFont val="Calibri"/>
        <family val="2"/>
        <scheme val="minor"/>
      </rPr>
      <t xml:space="preserve"> News Digest</t>
    </r>
    <r>
      <rPr>
        <sz val="20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2" tint="-0.749992370372631"/>
        <rFont val="Calibri"/>
        <family val="2"/>
        <scheme val="minor"/>
      </rPr>
      <t>Write 4 news headlines (max 20 words each) for NiftyBEES, GoldBEES, HDFC Bank, Reliance. Include source, days ago, and action. May 2026 context. | 4 merged news card cells. Calibri 8pt, wrap text ON, left border colour matches impact.</t>
    </r>
  </si>
  <si>
    <r>
      <rPr>
        <b/>
        <sz val="20"/>
        <color theme="4" tint="-0.499984740745262"/>
        <rFont val="Calibri"/>
        <family val="2"/>
        <scheme val="minor"/>
      </rPr>
      <t xml:space="preserve"> Portfolio Narrative</t>
    </r>
    <r>
      <rPr>
        <b/>
        <sz val="16"/>
        <color theme="4" tint="-0.499984740745262"/>
        <rFont val="Calibri"/>
        <family val="2"/>
        <scheme val="minor"/>
      </rPr>
      <t xml:space="preserve"> </t>
    </r>
    <r>
      <rPr>
        <sz val="16"/>
        <color theme="2" tint="-0.749992370372631"/>
        <rFont val="Calibri"/>
        <family val="2"/>
        <scheme val="minor"/>
      </rPr>
      <t>Write 5-sentence research note. Portfolio: ₹1,00,000, beta 0.75, return 11.49%. Gold and NiftyBEES working. HDFC main concern. Recommend reduce HDFC and increase NiftyBEES. | Large merged narrative cell. Calibri 9pt, wrap text ON, light blue fill, thick navy left border, row height 90pt.</t>
    </r>
  </si>
  <si>
    <t>HOW TO REFRESH AI DATA — STEP-BY-STEP GUIDE</t>
  </si>
  <si>
    <t xml:space="preserve">Scenario </t>
  </si>
  <si>
    <r>
      <rPr>
        <sz val="14"/>
        <color rgb="FFFFFFFF"/>
        <rFont val="Times New Roman"/>
        <family val="1"/>
      </rPr>
      <t xml:space="preserve">Data: NSE India · Risk-Free: 7% RBI G-Sec ·  Feb–May 2026                                                                                                                                                                                      </t>
    </r>
    <r>
      <rPr>
        <sz val="14"/>
        <color rgb="FFFFD966"/>
        <rFont val="Times New Roman"/>
        <family val="1"/>
      </rPr>
      <t xml:space="preserve">   MySQL + Power Query + Excel + AI → AI Signal Engine</t>
    </r>
  </si>
  <si>
    <t>MySQL Price Data → Power Query → ChatGPT AI Add-in → Real-Time Investment Intelligence</t>
  </si>
  <si>
    <t xml:space="preserve">ChatGPT for Sheets </t>
  </si>
  <si>
    <t>ChatGPT · Live AI</t>
  </si>
  <si>
    <t>AI SIGNAL TABLE · ChatGPT-POWERED CONVICTION 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</si>
</sst>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[$₹-439]#,##0.00"/>
    <numFmt numFmtId="166" formatCode="0.0%"/>
    <numFmt numFmtId="167" formatCode="_ [$₹-44D]\ * #,##0.00_ ;_ [$₹-44D]\ * \-#,##0.00_ ;_ [$₹-44D]\ * &quot;-&quot;??_ ;_ @_ "/>
    <numFmt numFmtId="168" formatCode="&quot;$&quot;#,##0.00"/>
  </numFmts>
  <fonts count="8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4" tint="-0.249977111117893"/>
      <name val="Arial"/>
      <family val="2"/>
    </font>
    <font>
      <sz val="8"/>
      <color theme="1"/>
      <name val="Calibri"/>
      <family val="2"/>
      <scheme val="minor"/>
    </font>
    <font>
      <b/>
      <sz val="16"/>
      <color rgb="FFFFCE33"/>
      <name val="Calibri"/>
      <family val="2"/>
      <scheme val="minor"/>
    </font>
    <font>
      <b/>
      <i/>
      <sz val="12"/>
      <color theme="7" tint="0.39997558519241921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22"/>
      <color theme="2"/>
      <name val="Times New Roman"/>
      <family val="1"/>
    </font>
    <font>
      <sz val="11"/>
      <color theme="1"/>
      <name val="Times New Roman"/>
      <family val="1"/>
    </font>
    <font>
      <b/>
      <i/>
      <sz val="16"/>
      <color theme="7" tint="0.39994506668294322"/>
      <name val="Arial Narrow"/>
      <family val="2"/>
    </font>
    <font>
      <b/>
      <sz val="16"/>
      <color theme="1"/>
      <name val="Times New Roman"/>
      <family val="1"/>
    </font>
    <font>
      <i/>
      <sz val="18"/>
      <color rgb="FF7A5800"/>
      <name val="Times New Roman"/>
      <family val="1"/>
    </font>
    <font>
      <b/>
      <sz val="12"/>
      <color theme="4" tint="-0.499984740745262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2"/>
      <name val="Calibri"/>
      <family val="2"/>
      <scheme val="minor"/>
    </font>
    <font>
      <i/>
      <sz val="18"/>
      <color theme="7" tint="-0.499984740745262"/>
      <name val="Times New Roman"/>
      <family val="1"/>
    </font>
    <font>
      <b/>
      <i/>
      <sz val="18"/>
      <color theme="7" tint="-0.499984740745262"/>
      <name val="Times New Roman"/>
      <family val="1"/>
    </font>
    <font>
      <sz val="12"/>
      <color theme="0"/>
      <name val="Times New Roman"/>
      <family val="1"/>
    </font>
    <font>
      <b/>
      <sz val="18"/>
      <color rgb="FFF7CB29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4"/>
      <color theme="3"/>
      <name val="Calibri Light"/>
      <family val="2"/>
      <scheme val="major"/>
    </font>
    <font>
      <b/>
      <sz val="18"/>
      <color theme="7" tint="-0.249977111117893"/>
      <name val="Calibri"/>
      <family val="2"/>
      <scheme val="minor"/>
    </font>
    <font>
      <b/>
      <sz val="18"/>
      <color theme="1"/>
      <name val="Times New Roman"/>
      <family val="1"/>
    </font>
    <font>
      <b/>
      <sz val="14"/>
      <color theme="4" tint="-0.499984740745262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6"/>
      <color theme="2" tint="-0.499984740745262"/>
      <name val="Calibri"/>
      <family val="2"/>
      <scheme val="minor"/>
    </font>
    <font>
      <sz val="12"/>
      <color rgb="FFFFFFFF"/>
      <name val="Times New Roman"/>
      <family val="1"/>
    </font>
    <font>
      <sz val="12"/>
      <color rgb="FFFFD966"/>
      <name val="Times New Roman"/>
      <family val="1"/>
    </font>
    <font>
      <b/>
      <sz val="12"/>
      <color theme="0"/>
      <name val="Calibri Light"/>
      <family val="2"/>
      <scheme val="major"/>
    </font>
    <font>
      <sz val="10"/>
      <color rgb="FF222222"/>
      <name val="Calibri"/>
      <family val="2"/>
      <scheme val="minor"/>
    </font>
    <font>
      <sz val="8"/>
      <color rgb="FF333333"/>
      <name val="Times New Roman"/>
      <family val="1"/>
    </font>
    <font>
      <i/>
      <sz val="7"/>
      <color rgb="FFAAAAAA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sz val="18"/>
      <color theme="4" tint="-0.499984740745262"/>
      <name val="Calibri"/>
      <family val="2"/>
      <scheme val="minor"/>
    </font>
    <font>
      <sz val="8"/>
      <color rgb="FF141413"/>
      <name val="Courier New"/>
      <family val="3"/>
    </font>
    <font>
      <sz val="18"/>
      <color theme="1"/>
      <name val="Calibri"/>
      <family val="2"/>
      <scheme val="minor"/>
    </font>
    <font>
      <sz val="18"/>
      <color rgb="FF000000"/>
      <name val="Calibri"/>
      <family val="2"/>
    </font>
    <font>
      <sz val="20"/>
      <color rgb="FF000000"/>
      <name val="Calibri"/>
      <family val="2"/>
    </font>
    <font>
      <b/>
      <sz val="20"/>
      <color theme="4" tint="-0.499984740745262"/>
      <name val="Calibri"/>
      <family val="2"/>
    </font>
    <font>
      <sz val="20"/>
      <color theme="9" tint="-0.499984740745262"/>
      <name val="Calibri"/>
      <family val="2"/>
    </font>
    <font>
      <b/>
      <i/>
      <sz val="18"/>
      <color theme="2" tint="-0.89999084444715716"/>
      <name val="Calibri"/>
      <family val="2"/>
    </font>
    <font>
      <sz val="18"/>
      <color theme="0" tint="-0.499984740745262"/>
      <name val="Calibri"/>
      <family val="2"/>
    </font>
    <font>
      <sz val="20"/>
      <color theme="2" tint="-0.749992370372631"/>
      <name val="Calibri"/>
      <family val="2"/>
    </font>
    <font>
      <b/>
      <sz val="20"/>
      <color theme="4" tint="-0.499984740745262"/>
      <name val="Times New Roman"/>
      <family val="1"/>
    </font>
    <font>
      <b/>
      <sz val="18"/>
      <color theme="8" tint="-0.499984740745262"/>
      <name val="Calibri"/>
      <family val="2"/>
    </font>
    <font>
      <sz val="18"/>
      <color theme="9" tint="-0.249977111117893"/>
      <name val="Calibri"/>
      <family val="2"/>
    </font>
    <font>
      <sz val="18"/>
      <color theme="7" tint="-0.249977111117893"/>
      <name val="Calibri"/>
      <family val="2"/>
    </font>
    <font>
      <sz val="20"/>
      <color rgb="FFFF0000"/>
      <name val="Calibri"/>
      <family val="2"/>
    </font>
    <font>
      <b/>
      <i/>
      <sz val="20"/>
      <color rgb="FF000000"/>
      <name val="Calibri"/>
      <family val="2"/>
    </font>
    <font>
      <b/>
      <i/>
      <sz val="20"/>
      <color theme="1" tint="4.9989318521683403E-2"/>
      <name val="Calibri"/>
      <family val="2"/>
    </font>
    <font>
      <sz val="20"/>
      <color theme="0" tint="-0.499984740745262"/>
      <name val="Calibri"/>
      <family val="2"/>
    </font>
    <font>
      <sz val="20"/>
      <color rgb="FFC00000"/>
      <name val="Calibri"/>
      <family val="2"/>
    </font>
    <font>
      <sz val="20"/>
      <color theme="2" tint="-0.499984740745262"/>
      <name val="Calibri"/>
      <family val="2"/>
    </font>
    <font>
      <b/>
      <sz val="20"/>
      <color theme="4" tint="-0.249977111117893"/>
      <name val="Calibri"/>
      <family val="2"/>
    </font>
    <font>
      <sz val="20"/>
      <color theme="5" tint="-0.249977111117893"/>
      <name val="Calibri"/>
      <family val="2"/>
    </font>
    <font>
      <sz val="18"/>
      <color theme="7" tint="-0.499984740745262"/>
      <name val="Calibri"/>
      <family val="2"/>
    </font>
    <font>
      <b/>
      <i/>
      <sz val="20"/>
      <color theme="2" tint="-0.749992370372631"/>
      <name val="Calibri"/>
      <family val="2"/>
      <scheme val="minor"/>
    </font>
    <font>
      <sz val="20"/>
      <color theme="4" tint="-0.499984740745262"/>
      <name val="Times New Roman"/>
      <family val="1"/>
    </font>
    <font>
      <sz val="20"/>
      <color theme="4" tint="-0.499984740745262"/>
      <name val="Calibri"/>
      <family val="1"/>
    </font>
    <font>
      <sz val="20"/>
      <color theme="4" tint="-0.499984740745262"/>
      <name val="Calibri"/>
      <family val="2"/>
    </font>
    <font>
      <i/>
      <sz val="20"/>
      <color theme="0" tint="-0.499984740745262"/>
      <name val="Calibri Light"/>
      <family val="2"/>
      <scheme val="major"/>
    </font>
    <font>
      <sz val="14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5" tint="-0.499984740745262"/>
      <name val="Calibri"/>
      <family val="2"/>
      <scheme val="minor"/>
    </font>
    <font>
      <b/>
      <sz val="20"/>
      <color theme="4" tint="-0.499984740745262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4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sz val="16"/>
      <color theme="4" tint="-0.499984740745262"/>
      <name val="Calibri"/>
      <family val="2"/>
      <scheme val="minor"/>
    </font>
    <font>
      <sz val="16"/>
      <color theme="2" tint="-0.749992370372631"/>
      <name val="Calibri"/>
      <family val="2"/>
      <scheme val="minor"/>
    </font>
    <font>
      <b/>
      <sz val="22"/>
      <color theme="7" tint="-0.499984740745262"/>
      <name val="Calibri"/>
      <family val="2"/>
      <scheme val="minor"/>
    </font>
    <font>
      <sz val="8"/>
      <color rgb="FF2E7D32"/>
      <name val="Arial"/>
      <family val="2"/>
    </font>
    <font>
      <sz val="14"/>
      <color theme="0"/>
      <name val="Times New Roman"/>
      <family val="1"/>
    </font>
    <font>
      <sz val="14"/>
      <color rgb="FFFFFFFF"/>
      <name val="Times New Roman"/>
      <family val="1"/>
    </font>
    <font>
      <sz val="14"/>
      <color rgb="FFFFD966"/>
      <name val="Times New Roman"/>
      <family val="1"/>
    </font>
    <font>
      <b/>
      <sz val="12"/>
      <color theme="3"/>
      <name val="Calibri Light"/>
      <family val="2"/>
      <scheme val="major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F2F4F8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E3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7DD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FFC000"/>
      </bottom>
      <diagonal/>
    </border>
    <border>
      <left/>
      <right/>
      <top/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/>
      <diagonal/>
    </border>
    <border>
      <left/>
      <right/>
      <top style="thin">
        <color theme="4" tint="-0.24994659260841701"/>
      </top>
      <bottom/>
      <diagonal/>
    </border>
    <border>
      <left style="thick">
        <color rgb="FFC9A84C"/>
      </left>
      <right/>
      <top style="thin">
        <color theme="4" tint="-0.24994659260841701"/>
      </top>
      <bottom style="thick">
        <color rgb="FFC9A84C"/>
      </bottom>
      <diagonal/>
    </border>
    <border>
      <left/>
      <right style="thick">
        <color rgb="FFC9A84C"/>
      </right>
      <top style="thin">
        <color theme="4" tint="-0.24994659260841701"/>
      </top>
      <bottom style="thick">
        <color rgb="FFC9A84C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/>
      <top/>
      <bottom style="thin">
        <color theme="4" tint="-0.24994659260841701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/>
      <right/>
      <top/>
      <bottom style="thick">
        <color rgb="FFFFC715"/>
      </bottom>
      <diagonal/>
    </border>
    <border>
      <left style="medium">
        <color rgb="FFC9A84C"/>
      </left>
      <right/>
      <top style="medium">
        <color rgb="FFC9A84C"/>
      </top>
      <bottom/>
      <diagonal/>
    </border>
    <border>
      <left/>
      <right/>
      <top style="medium">
        <color rgb="FFC9A84C"/>
      </top>
      <bottom/>
      <diagonal/>
    </border>
    <border>
      <left/>
      <right style="medium">
        <color rgb="FFC9A84C"/>
      </right>
      <top style="medium">
        <color rgb="FFC9A84C"/>
      </top>
      <bottom/>
      <diagonal/>
    </border>
    <border>
      <left style="medium">
        <color rgb="FFC9A84C"/>
      </left>
      <right/>
      <top/>
      <bottom/>
      <diagonal/>
    </border>
    <border>
      <left/>
      <right style="medium">
        <color rgb="FFC9A84C"/>
      </right>
      <top/>
      <bottom/>
      <diagonal/>
    </border>
    <border>
      <left style="medium">
        <color rgb="FFC9A84C"/>
      </left>
      <right/>
      <top/>
      <bottom style="medium">
        <color rgb="FFC9A84C"/>
      </bottom>
      <diagonal/>
    </border>
    <border>
      <left/>
      <right/>
      <top/>
      <bottom style="medium">
        <color rgb="FFC9A84C"/>
      </bottom>
      <diagonal/>
    </border>
    <border>
      <left/>
      <right style="medium">
        <color rgb="FFC9A84C"/>
      </right>
      <top/>
      <bottom style="medium">
        <color rgb="FFC9A84C"/>
      </bottom>
      <diagonal/>
    </border>
    <border>
      <left style="thin">
        <color theme="4" tint="-0.24994659260841701"/>
      </left>
      <right/>
      <top/>
      <bottom/>
      <diagonal/>
    </border>
    <border>
      <left/>
      <right style="thin">
        <color theme="4" tint="-0.24994659260841701"/>
      </right>
      <top/>
      <bottom/>
      <diagonal/>
    </border>
    <border>
      <left/>
      <right/>
      <top/>
      <bottom style="thin">
        <color rgb="FFDDDDDD"/>
      </bottom>
      <diagonal/>
    </border>
    <border>
      <left style="medium">
        <color theme="2" tint="-0.24994659260841701"/>
      </left>
      <right/>
      <top style="medium">
        <color theme="2" tint="-0.24994659260841701"/>
      </top>
      <bottom/>
      <diagonal/>
    </border>
    <border>
      <left style="medium">
        <color theme="2" tint="-0.24994659260841701"/>
      </left>
      <right/>
      <top/>
      <bottom style="medium">
        <color theme="2" tint="-0.24994659260841701"/>
      </bottom>
      <diagonal/>
    </border>
    <border>
      <left style="medium">
        <color theme="2" tint="-0.24994659260841701"/>
      </left>
      <right style="medium">
        <color theme="2" tint="-0.24994659260841701"/>
      </right>
      <top/>
      <bottom/>
      <diagonal/>
    </border>
    <border>
      <left style="medium">
        <color theme="2" tint="-0.24994659260841701"/>
      </left>
      <right style="medium">
        <color theme="2" tint="-0.24994659260841701"/>
      </right>
      <top/>
      <bottom style="thin">
        <color rgb="FFDDDDDD"/>
      </bottom>
      <diagonal/>
    </border>
    <border>
      <left style="medium">
        <color theme="2" tint="-0.24994659260841701"/>
      </left>
      <right/>
      <top/>
      <bottom/>
      <diagonal/>
    </border>
    <border>
      <left style="medium">
        <color theme="2" tint="-0.24994659260841701"/>
      </left>
      <right/>
      <top/>
      <bottom style="thin">
        <color rgb="FFDDDDDD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/>
      <top/>
      <bottom style="thin">
        <color rgb="FFD9E2F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2" tint="-0.24994659260841701"/>
      </right>
      <top/>
      <bottom/>
      <diagonal/>
    </border>
    <border>
      <left/>
      <right style="medium">
        <color theme="2" tint="-0.24994659260841701"/>
      </right>
      <top/>
      <bottom style="thin">
        <color rgb="FFDDDDDD"/>
      </bottom>
      <diagonal/>
    </border>
    <border>
      <left style="medium">
        <color theme="2" tint="-0.24994659260841701"/>
      </left>
      <right style="medium">
        <color theme="2" tint="-0.24994659260841701"/>
      </right>
      <top style="medium">
        <color theme="2" tint="-0.24994659260841701"/>
      </top>
      <bottom/>
      <diagonal/>
    </border>
    <border>
      <left style="medium">
        <color theme="2" tint="-0.24994659260841701"/>
      </left>
      <right style="medium">
        <color theme="2" tint="-0.24994659260841701"/>
      </right>
      <top/>
      <bottom style="medium">
        <color theme="2" tint="-0.24994659260841701"/>
      </bottom>
      <diagonal/>
    </border>
    <border>
      <left style="thick">
        <color theme="4" tint="-0.499984740745262"/>
      </left>
      <right/>
      <top/>
      <bottom/>
      <diagonal/>
    </border>
    <border>
      <left style="thick">
        <color rgb="FFC00000"/>
      </left>
      <right/>
      <top/>
      <bottom/>
      <diagonal/>
    </border>
    <border>
      <left style="thick">
        <color rgb="FFC89400"/>
      </left>
      <right/>
      <top/>
      <bottom/>
      <diagonal/>
    </border>
    <border>
      <left/>
      <right style="thick">
        <color rgb="FFC89400"/>
      </right>
      <top/>
      <bottom/>
      <diagonal/>
    </border>
    <border>
      <left/>
      <right/>
      <top style="thick">
        <color rgb="FFFFC000"/>
      </top>
      <bottom/>
      <diagonal/>
    </border>
    <border>
      <left style="medium">
        <color theme="4" tint="-0.499984740745262"/>
      </left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9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44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2" fillId="0" borderId="1" xfId="0" applyFont="1" applyBorder="1"/>
    <xf numFmtId="0" fontId="0" fillId="3" borderId="0" xfId="0" applyFill="1"/>
    <xf numFmtId="0" fontId="0" fillId="3" borderId="0" xfId="0" applyFill="1" applyProtection="1">
      <protection locked="0"/>
    </xf>
    <xf numFmtId="0" fontId="4" fillId="3" borderId="0" xfId="0" applyFont="1" applyFill="1" applyProtection="1">
      <protection locked="0"/>
    </xf>
    <xf numFmtId="0" fontId="0" fillId="0" borderId="0" xfId="0" applyProtection="1"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right"/>
      <protection locked="0"/>
    </xf>
    <xf numFmtId="0" fontId="6" fillId="3" borderId="0" xfId="0" applyFont="1" applyFill="1" applyProtection="1">
      <protection locked="0"/>
    </xf>
    <xf numFmtId="0" fontId="8" fillId="4" borderId="6" xfId="0" applyFont="1" applyFill="1" applyBorder="1" applyAlignment="1">
      <alignment horizontal="left" vertical="center" indent="2"/>
    </xf>
    <xf numFmtId="0" fontId="0" fillId="3" borderId="0" xfId="0" applyFill="1" applyAlignment="1">
      <alignment horizontal="center"/>
    </xf>
    <xf numFmtId="0" fontId="10" fillId="3" borderId="0" xfId="0" applyFont="1" applyFill="1" applyAlignment="1" applyProtection="1">
      <alignment horizontal="left" vertical="center" indent="1"/>
      <protection locked="0"/>
    </xf>
    <xf numFmtId="165" fontId="0" fillId="3" borderId="0" xfId="0" applyNumberFormat="1" applyFill="1"/>
    <xf numFmtId="0" fontId="5" fillId="7" borderId="11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center" wrapText="1"/>
    </xf>
    <xf numFmtId="0" fontId="13" fillId="3" borderId="0" xfId="0" applyFont="1" applyFill="1" applyAlignment="1">
      <alignment horizontal="center"/>
    </xf>
    <xf numFmtId="0" fontId="20" fillId="7" borderId="0" xfId="0" applyFont="1" applyFill="1" applyAlignment="1">
      <alignment horizontal="left" vertical="center"/>
    </xf>
    <xf numFmtId="166" fontId="20" fillId="7" borderId="0" xfId="0" applyNumberFormat="1" applyFont="1" applyFill="1" applyAlignment="1">
      <alignment horizontal="left" vertical="center"/>
    </xf>
    <xf numFmtId="0" fontId="19" fillId="3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166" fontId="19" fillId="0" borderId="0" xfId="3" applyNumberFormat="1" applyFont="1" applyAlignment="1">
      <alignment horizontal="center" vertical="center" wrapText="1"/>
    </xf>
    <xf numFmtId="0" fontId="15" fillId="3" borderId="0" xfId="0" applyFont="1" applyFill="1" applyAlignment="1" applyProtection="1">
      <alignment horizontal="left" vertical="center" indent="1"/>
      <protection locked="0"/>
    </xf>
    <xf numFmtId="0" fontId="0" fillId="0" borderId="0" xfId="0" applyAlignment="1">
      <alignment horizontal="center"/>
    </xf>
    <xf numFmtId="0" fontId="29" fillId="13" borderId="0" xfId="0" applyFont="1" applyFill="1" applyAlignment="1">
      <alignment horizontal="left" vertical="center"/>
    </xf>
    <xf numFmtId="0" fontId="29" fillId="13" borderId="0" xfId="0" applyFont="1" applyFill="1" applyAlignment="1">
      <alignment horizontal="center"/>
    </xf>
    <xf numFmtId="0" fontId="29" fillId="1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0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167" fontId="0" fillId="0" borderId="0" xfId="0" applyNumberFormat="1"/>
    <xf numFmtId="10" fontId="0" fillId="0" borderId="0" xfId="0" applyNumberFormat="1"/>
    <xf numFmtId="0" fontId="37" fillId="0" borderId="0" xfId="0" applyFont="1"/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36" fillId="14" borderId="0" xfId="0" applyFont="1" applyFill="1" applyAlignment="1" applyProtection="1">
      <alignment horizontal="left" vertical="top" wrapText="1" indent="1"/>
      <protection locked="0"/>
    </xf>
    <xf numFmtId="0" fontId="35" fillId="15" borderId="34" xfId="0" applyFont="1" applyFill="1" applyBorder="1" applyAlignment="1">
      <alignment wrapText="1"/>
    </xf>
    <xf numFmtId="0" fontId="0" fillId="0" borderId="1" xfId="0" quotePrefix="1" applyBorder="1" applyAlignment="1">
      <alignment horizontal="left"/>
    </xf>
    <xf numFmtId="10" fontId="0" fillId="0" borderId="1" xfId="0" applyNumberFormat="1" applyBorder="1"/>
    <xf numFmtId="168" fontId="0" fillId="0" borderId="1" xfId="0" applyNumberFormat="1" applyBorder="1"/>
    <xf numFmtId="0" fontId="38" fillId="0" borderId="0" xfId="0" applyFont="1"/>
    <xf numFmtId="2" fontId="0" fillId="0" borderId="1" xfId="0" applyNumberFormat="1" applyBorder="1"/>
    <xf numFmtId="0" fontId="3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0" fillId="0" borderId="0" xfId="0" applyFont="1"/>
    <xf numFmtId="0" fontId="41" fillId="0" borderId="0" xfId="0" applyFont="1" applyAlignment="1">
      <alignment horizontal="center" vertical="center" wrapText="1"/>
    </xf>
    <xf numFmtId="166" fontId="0" fillId="0" borderId="0" xfId="3" applyNumberFormat="1" applyFont="1" applyAlignment="1">
      <alignment wrapText="1"/>
    </xf>
    <xf numFmtId="10" fontId="0" fillId="0" borderId="0" xfId="0" applyNumberFormat="1" applyAlignment="1">
      <alignment wrapText="1"/>
    </xf>
    <xf numFmtId="0" fontId="29" fillId="13" borderId="0" xfId="0" applyFont="1" applyFill="1" applyAlignment="1">
      <alignment horizontal="left" vertical="center" wrapText="1"/>
    </xf>
    <xf numFmtId="0" fontId="31" fillId="0" borderId="0" xfId="0" applyFont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28" fillId="3" borderId="0" xfId="0" quotePrefix="1" applyFont="1" applyFill="1" applyAlignment="1" applyProtection="1">
      <alignment horizontal="left" vertical="center" indent="1"/>
      <protection locked="0"/>
    </xf>
    <xf numFmtId="0" fontId="42" fillId="3" borderId="0" xfId="0" quotePrefix="1" applyFont="1" applyFill="1" applyAlignment="1" applyProtection="1">
      <alignment vertical="top" wrapText="1"/>
      <protection locked="0"/>
    </xf>
    <xf numFmtId="0" fontId="43" fillId="3" borderId="0" xfId="0" quotePrefix="1" applyFont="1" applyFill="1" applyAlignment="1" applyProtection="1">
      <alignment vertical="top" wrapText="1"/>
      <protection locked="0"/>
    </xf>
    <xf numFmtId="0" fontId="67" fillId="3" borderId="0" xfId="0" applyFont="1" applyFill="1" applyAlignment="1" applyProtection="1">
      <alignment vertical="top" wrapText="1"/>
      <protection locked="0"/>
    </xf>
    <xf numFmtId="0" fontId="17" fillId="0" borderId="0" xfId="0" applyFont="1" applyAlignment="1">
      <alignment horizontal="left" vertical="center" wrapText="1"/>
    </xf>
    <xf numFmtId="0" fontId="68" fillId="3" borderId="0" xfId="0" applyFont="1" applyFill="1" applyAlignment="1">
      <alignment horizontal="center" vertical="center" wrapText="1"/>
    </xf>
    <xf numFmtId="0" fontId="69" fillId="3" borderId="0" xfId="0" applyFont="1" applyFill="1" applyAlignment="1">
      <alignment horizontal="center" vertical="center" wrapText="1"/>
    </xf>
    <xf numFmtId="0" fontId="73" fillId="3" borderId="0" xfId="0" quotePrefix="1" applyFont="1" applyFill="1" applyAlignment="1" applyProtection="1">
      <alignment horizontal="left" vertical="center" indent="1"/>
      <protection locked="0"/>
    </xf>
    <xf numFmtId="0" fontId="4" fillId="3" borderId="0" xfId="0" quotePrefix="1" applyFont="1" applyFill="1" applyAlignment="1" applyProtection="1">
      <alignment vertical="top"/>
      <protection locked="0"/>
    </xf>
    <xf numFmtId="0" fontId="78" fillId="0" borderId="0" xfId="0" applyFont="1"/>
    <xf numFmtId="0" fontId="0" fillId="0" borderId="1" xfId="3" applyNumberFormat="1" applyFont="1" applyBorder="1"/>
    <xf numFmtId="0" fontId="4" fillId="0" borderId="35" xfId="0" quotePrefix="1" applyFont="1" applyBorder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4" fillId="16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4" fillId="7" borderId="8" xfId="0" applyFont="1" applyFill="1" applyBorder="1" applyAlignment="1">
      <alignment horizontal="center" vertical="center"/>
    </xf>
    <xf numFmtId="0" fontId="24" fillId="7" borderId="11" xfId="0" applyFont="1" applyFill="1" applyBorder="1" applyAlignment="1">
      <alignment horizontal="center" vertical="center"/>
    </xf>
    <xf numFmtId="0" fontId="25" fillId="6" borderId="0" xfId="2" applyFont="1" applyFill="1" applyBorder="1" applyAlignment="1">
      <alignment horizontal="center" vertical="center"/>
    </xf>
    <xf numFmtId="0" fontId="25" fillId="6" borderId="24" xfId="2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left" vertical="center" indent="1"/>
    </xf>
    <xf numFmtId="0" fontId="12" fillId="4" borderId="8" xfId="0" applyFont="1" applyFill="1" applyBorder="1" applyAlignment="1">
      <alignment horizontal="left" vertical="center" indent="1"/>
    </xf>
    <xf numFmtId="0" fontId="8" fillId="7" borderId="23" xfId="0" quotePrefix="1" applyFont="1" applyFill="1" applyBorder="1" applyAlignment="1">
      <alignment horizontal="left" vertical="center" indent="1"/>
    </xf>
    <xf numFmtId="0" fontId="8" fillId="7" borderId="0" xfId="0" applyFont="1" applyFill="1" applyAlignment="1">
      <alignment horizontal="left" vertical="center" indent="1"/>
    </xf>
    <xf numFmtId="0" fontId="82" fillId="10" borderId="32" xfId="0" quotePrefix="1" applyFont="1" applyFill="1" applyBorder="1" applyAlignment="1">
      <alignment horizontal="center" vertical="center" wrapText="1"/>
    </xf>
    <xf numFmtId="0" fontId="82" fillId="10" borderId="33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6" fillId="11" borderId="26" xfId="0" applyFont="1" applyFill="1" applyBorder="1" applyAlignment="1">
      <alignment horizontal="center" vertical="center"/>
    </xf>
    <xf numFmtId="0" fontId="26" fillId="11" borderId="27" xfId="0" applyFont="1" applyFill="1" applyBorder="1" applyAlignment="1">
      <alignment horizontal="center" vertical="center"/>
    </xf>
    <xf numFmtId="0" fontId="27" fillId="0" borderId="28" xfId="0" applyFont="1" applyBorder="1" applyAlignment="1">
      <alignment horizontal="center" vertical="center" wrapText="1"/>
    </xf>
    <xf numFmtId="0" fontId="27" fillId="0" borderId="29" xfId="0" applyFont="1" applyBorder="1" applyAlignment="1">
      <alignment horizontal="center" vertical="center" wrapText="1"/>
    </xf>
    <xf numFmtId="0" fontId="28" fillId="3" borderId="5" xfId="0" applyFont="1" applyFill="1" applyBorder="1" applyAlignment="1" applyProtection="1">
      <alignment horizontal="left" vertical="center" indent="1"/>
      <protection locked="0"/>
    </xf>
    <xf numFmtId="0" fontId="27" fillId="0" borderId="36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  <xf numFmtId="0" fontId="26" fillId="11" borderId="38" xfId="0" applyFont="1" applyFill="1" applyBorder="1" applyAlignment="1">
      <alignment horizontal="center" vertical="center" wrapText="1"/>
    </xf>
    <xf numFmtId="0" fontId="26" fillId="11" borderId="28" xfId="0" applyFont="1" applyFill="1" applyBorder="1" applyAlignment="1">
      <alignment horizontal="center" vertical="center" wrapText="1"/>
    </xf>
    <xf numFmtId="0" fontId="26" fillId="11" borderId="39" xfId="0" applyFont="1" applyFill="1" applyBorder="1" applyAlignment="1">
      <alignment horizontal="center" vertical="center" wrapText="1"/>
    </xf>
    <xf numFmtId="0" fontId="34" fillId="12" borderId="45" xfId="0" applyFont="1" applyFill="1" applyBorder="1" applyAlignment="1">
      <alignment horizontal="center" vertical="center" wrapText="1"/>
    </xf>
    <xf numFmtId="0" fontId="34" fillId="12" borderId="0" xfId="0" applyFont="1" applyFill="1" applyAlignment="1">
      <alignment horizontal="center" vertical="center" wrapText="1"/>
    </xf>
    <xf numFmtId="0" fontId="79" fillId="7" borderId="0" xfId="0" quotePrefix="1" applyFont="1" applyFill="1" applyAlignment="1">
      <alignment horizontal="left" vertical="center" wrapText="1"/>
    </xf>
    <xf numFmtId="0" fontId="43" fillId="3" borderId="41" xfId="0" quotePrefix="1" applyFont="1" applyFill="1" applyBorder="1" applyAlignment="1" applyProtection="1">
      <alignment horizontal="left" vertical="top" wrapText="1"/>
      <protection locked="0"/>
    </xf>
    <xf numFmtId="0" fontId="43" fillId="3" borderId="0" xfId="0" quotePrefix="1" applyFont="1" applyFill="1" applyAlignment="1" applyProtection="1">
      <alignment horizontal="left" vertical="top" wrapText="1"/>
      <protection locked="0"/>
    </xf>
    <xf numFmtId="0" fontId="43" fillId="3" borderId="41" xfId="0" quotePrefix="1" applyFont="1" applyFill="1" applyBorder="1" applyAlignment="1" applyProtection="1">
      <alignment horizontal="left" vertical="center" wrapText="1"/>
      <protection locked="0"/>
    </xf>
    <xf numFmtId="0" fontId="43" fillId="3" borderId="0" xfId="0" quotePrefix="1" applyFont="1" applyFill="1" applyAlignment="1" applyProtection="1">
      <alignment horizontal="left" vertical="center" wrapText="1"/>
      <protection locked="0"/>
    </xf>
    <xf numFmtId="0" fontId="42" fillId="3" borderId="42" xfId="0" quotePrefix="1" applyFont="1" applyFill="1" applyBorder="1" applyAlignment="1" applyProtection="1">
      <alignment horizontal="left" vertical="top" wrapText="1"/>
      <protection locked="0"/>
    </xf>
    <xf numFmtId="0" fontId="42" fillId="3" borderId="0" xfId="0" quotePrefix="1" applyFont="1" applyFill="1" applyAlignment="1" applyProtection="1">
      <alignment horizontal="left" vertical="top" wrapText="1"/>
      <protection locked="0"/>
    </xf>
    <xf numFmtId="0" fontId="43" fillId="3" borderId="40" xfId="0" quotePrefix="1" applyFont="1" applyFill="1" applyBorder="1" applyAlignment="1" applyProtection="1">
      <alignment horizontal="left" vertical="top" wrapText="1"/>
      <protection locked="0"/>
    </xf>
    <xf numFmtId="0" fontId="43" fillId="3" borderId="43" xfId="0" quotePrefix="1" applyFont="1" applyFill="1" applyBorder="1" applyAlignment="1" applyProtection="1">
      <alignment horizontal="left" vertical="top" wrapText="1"/>
      <protection locked="0"/>
    </xf>
    <xf numFmtId="0" fontId="28" fillId="3" borderId="5" xfId="0" quotePrefix="1" applyFont="1" applyFill="1" applyBorder="1" applyAlignment="1" applyProtection="1">
      <alignment horizontal="left" vertical="center" indent="1"/>
      <protection locked="0"/>
    </xf>
    <xf numFmtId="0" fontId="64" fillId="17" borderId="44" xfId="0" quotePrefix="1" applyFont="1" applyFill="1" applyBorder="1" applyAlignment="1" applyProtection="1">
      <alignment horizontal="left" vertical="top" wrapText="1"/>
      <protection locked="0"/>
    </xf>
    <xf numFmtId="0" fontId="65" fillId="17" borderId="44" xfId="0" quotePrefix="1" applyFont="1" applyFill="1" applyBorder="1" applyAlignment="1" applyProtection="1">
      <alignment horizontal="left" vertical="top" wrapText="1"/>
      <protection locked="0"/>
    </xf>
    <xf numFmtId="0" fontId="65" fillId="17" borderId="0" xfId="0" quotePrefix="1" applyFont="1" applyFill="1" applyAlignment="1" applyProtection="1">
      <alignment horizontal="left" vertical="top" wrapText="1"/>
      <protection locked="0"/>
    </xf>
    <xf numFmtId="0" fontId="72" fillId="0" borderId="0" xfId="0" quotePrefix="1" applyFont="1" applyAlignment="1">
      <alignment horizontal="left" vertical="top" wrapText="1"/>
    </xf>
    <xf numFmtId="0" fontId="75" fillId="0" borderId="0" xfId="0" applyFont="1" applyAlignment="1">
      <alignment vertical="top" wrapText="1"/>
    </xf>
    <xf numFmtId="0" fontId="77" fillId="3" borderId="0" xfId="0" quotePrefix="1" applyFont="1" applyFill="1" applyAlignment="1" applyProtection="1">
      <alignment vertical="top"/>
      <protection locked="0"/>
    </xf>
    <xf numFmtId="0" fontId="71" fillId="3" borderId="0" xfId="0" quotePrefix="1" applyFont="1" applyFill="1" applyAlignment="1" applyProtection="1">
      <alignment horizontal="left"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28" fillId="3" borderId="14" xfId="0" applyFont="1" applyFill="1" applyBorder="1" applyAlignment="1" applyProtection="1">
      <alignment horizontal="left" vertical="center" indent="1"/>
      <protection locked="0"/>
    </xf>
    <xf numFmtId="0" fontId="23" fillId="7" borderId="0" xfId="0" quotePrefix="1" applyFont="1" applyFill="1" applyAlignment="1">
      <alignment horizontal="left" vertical="center" wrapText="1" indent="2"/>
    </xf>
    <xf numFmtId="0" fontId="23" fillId="7" borderId="0" xfId="0" applyFont="1" applyFill="1" applyAlignment="1">
      <alignment horizontal="left" vertical="center" wrapText="1" indent="2"/>
    </xf>
    <xf numFmtId="0" fontId="14" fillId="5" borderId="9" xfId="1" applyFont="1" applyFill="1" applyBorder="1" applyAlignment="1">
      <alignment horizontal="center" vertical="center" readingOrder="1"/>
    </xf>
    <xf numFmtId="0" fontId="14" fillId="5" borderId="10" xfId="1" applyFont="1" applyFill="1" applyBorder="1" applyAlignment="1">
      <alignment horizontal="center" vertical="center" readingOrder="1"/>
    </xf>
    <xf numFmtId="0" fontId="7" fillId="4" borderId="8" xfId="0" quotePrefix="1" applyFont="1" applyFill="1" applyBorder="1" applyAlignment="1">
      <alignment horizontal="left" vertical="center" indent="3"/>
    </xf>
    <xf numFmtId="0" fontId="7" fillId="4" borderId="8" xfId="0" applyFont="1" applyFill="1" applyBorder="1" applyAlignment="1">
      <alignment horizontal="left" vertical="center" indent="3"/>
    </xf>
    <xf numFmtId="0" fontId="8" fillId="4" borderId="12" xfId="0" applyFont="1" applyFill="1" applyBorder="1" applyAlignment="1">
      <alignment horizontal="left" vertical="center" indent="1"/>
    </xf>
    <xf numFmtId="0" fontId="8" fillId="4" borderId="6" xfId="0" applyFont="1" applyFill="1" applyBorder="1" applyAlignment="1">
      <alignment horizontal="left" vertical="center" indent="1"/>
    </xf>
    <xf numFmtId="0" fontId="11" fillId="6" borderId="6" xfId="2" applyFont="1" applyFill="1" applyBorder="1" applyAlignment="1">
      <alignment horizontal="center" vertical="center"/>
    </xf>
    <xf numFmtId="0" fontId="21" fillId="9" borderId="15" xfId="0" applyFont="1" applyFill="1" applyBorder="1" applyAlignment="1">
      <alignment horizontal="center" vertical="center"/>
    </xf>
    <xf numFmtId="0" fontId="16" fillId="9" borderId="16" xfId="0" applyFont="1" applyFill="1" applyBorder="1" applyAlignment="1">
      <alignment horizontal="center" vertical="center"/>
    </xf>
    <xf numFmtId="0" fontId="16" fillId="9" borderId="17" xfId="0" applyFont="1" applyFill="1" applyBorder="1" applyAlignment="1">
      <alignment horizontal="center" vertical="center"/>
    </xf>
    <xf numFmtId="0" fontId="16" fillId="9" borderId="18" xfId="0" applyFont="1" applyFill="1" applyBorder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16" fillId="9" borderId="19" xfId="0" applyFont="1" applyFill="1" applyBorder="1" applyAlignment="1">
      <alignment horizontal="center" vertical="center"/>
    </xf>
    <xf numFmtId="0" fontId="16" fillId="9" borderId="20" xfId="0" applyFont="1" applyFill="1" applyBorder="1" applyAlignment="1">
      <alignment horizontal="center" vertical="center"/>
    </xf>
    <xf numFmtId="0" fontId="16" fillId="9" borderId="21" xfId="0" applyFont="1" applyFill="1" applyBorder="1" applyAlignment="1">
      <alignment horizontal="center" vertical="center"/>
    </xf>
    <xf numFmtId="0" fontId="16" fillId="9" borderId="2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4">
    <cellStyle name="20% - Accent4" xfId="1" builtinId="42"/>
    <cellStyle name="Hyperlink" xfId="2" builtinId="8"/>
    <cellStyle name="Normal" xfId="0" builtinId="0"/>
    <cellStyle name="Percent" xfId="3" builtinId="5"/>
  </cellStyles>
  <dxfs count="64">
    <dxf>
      <font>
        <b/>
        <i val="0"/>
        <color theme="6" tint="0.79998168889431442"/>
      </font>
      <fill>
        <patternFill>
          <bgColor rgb="FF002060"/>
        </patternFill>
      </fill>
    </dxf>
    <dxf>
      <font>
        <b/>
        <i val="0"/>
        <color theme="2"/>
      </font>
      <fill>
        <patternFill>
          <bgColor rgb="FFC89400"/>
        </patternFill>
      </fill>
    </dxf>
    <dxf>
      <font>
        <b/>
        <i val="0"/>
        <color theme="5" tint="-0.499984740745262"/>
      </font>
      <fill>
        <patternFill>
          <bgColor theme="7" tint="0.59996337778862885"/>
        </patternFill>
      </fill>
    </dxf>
    <dxf>
      <font>
        <b/>
        <i val="0"/>
        <color theme="7" tint="0.39994506668294322"/>
      </font>
      <fill>
        <patternFill>
          <bgColor rgb="FFDC6412"/>
        </patternFill>
      </fill>
    </dxf>
    <dxf>
      <font>
        <b/>
        <i val="0"/>
        <color theme="9" tint="-0.24994659260841701"/>
      </font>
      <fill>
        <patternFill>
          <bgColor rgb="FFD2D0D0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/>
        <i val="0"/>
        <color rgb="FFE65100"/>
      </font>
      <fill>
        <patternFill>
          <bgColor rgb="FFFFEDC9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theme="7" tint="-0.499984740745262"/>
      </font>
      <fill>
        <patternFill>
          <bgColor rgb="FFFFF3CD"/>
        </patternFill>
      </fill>
      <border>
        <left style="thin">
          <color theme="7" tint="-0.499984740745262"/>
        </left>
        <right style="thin">
          <color theme="7" tint="-0.499984740745262"/>
        </right>
        <top style="thin">
          <color theme="7" tint="-0.499984740745262"/>
        </top>
        <bottom style="thin">
          <color theme="7" tint="-0.499984740745262"/>
        </bottom>
      </border>
    </dxf>
    <dxf>
      <font>
        <b/>
        <i val="0"/>
        <color theme="4" tint="-0.499984740745262"/>
      </font>
      <fill>
        <patternFill>
          <bgColor rgb="FFFFFFCC"/>
        </patternFill>
      </fill>
      <border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/>
        <i/>
        <color theme="9" tint="-0.24994659260841701"/>
      </font>
    </dxf>
    <dxf>
      <font>
        <b/>
        <i/>
        <color theme="5" tint="-0.24994659260841701"/>
      </font>
    </dxf>
    <dxf>
      <font>
        <b/>
        <i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rgb="FF2E7D32"/>
      </font>
    </dxf>
    <dxf>
      <font>
        <color rgb="FFEE0600"/>
      </font>
    </dxf>
    <dxf>
      <font>
        <b/>
        <i val="0"/>
        <color theme="9"/>
      </font>
    </dxf>
    <dxf>
      <font>
        <b/>
        <i val="0"/>
        <color theme="8" tint="-0.24994659260841701"/>
      </font>
    </dxf>
    <dxf>
      <font>
        <b/>
        <i val="0"/>
        <color rgb="FFC00000"/>
      </font>
    </dxf>
    <dxf>
      <font>
        <b/>
        <i val="0"/>
        <color rgb="FFC62828"/>
      </font>
      <fill>
        <patternFill>
          <bgColor rgb="FFFFD9DE"/>
        </patternFill>
      </fill>
    </dxf>
    <dxf>
      <font>
        <b/>
        <i val="0"/>
        <color rgb="FFE65100"/>
      </font>
      <fill>
        <patternFill>
          <bgColor rgb="FFFFEAA7"/>
        </patternFill>
      </fill>
    </dxf>
    <dxf>
      <font>
        <b/>
        <i val="0"/>
        <color rgb="FF00695C"/>
      </font>
      <fill>
        <patternFill>
          <bgColor rgb="FFE0F2F1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F2F4F8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.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499984740745262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4" tint="-0.499984740745262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2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left" vertical="center" textRotation="0" wrapText="0" indent="0" justifyLastLine="0" shrinkToFit="0" readingOrder="0"/>
    </dxf>
    <dxf>
      <numFmt numFmtId="0" formatCode="General"/>
      <protection locked="1" hidden="0"/>
    </dxf>
    <dxf>
      <numFmt numFmtId="0" formatCode="General"/>
      <alignment horizontal="center" textRotation="0" indent="0" justifyLastLine="0" shrinkToFit="0" readingOrder="0"/>
      <protection locked="1" hidden="0"/>
    </dxf>
    <dxf>
      <numFmt numFmtId="0" formatCode="General"/>
      <protection locked="1" hidden="0"/>
    </dxf>
    <dxf>
      <numFmt numFmtId="0" formatCode="General"/>
      <alignment horizontal="center" vertical="bottom" textRotation="0" wrapText="0" indent="0" justifyLastLine="0" shrinkToFit="0" readingOrder="0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numFmt numFmtId="0" formatCode="General"/>
      <alignment textRotation="0" wrapText="1" indent="0" justifyLastLine="0" shrinkToFit="0" readingOrder="0"/>
      <protection locked="1" hidden="0"/>
    </dxf>
    <dxf>
      <numFmt numFmtId="0" formatCode="General"/>
      <protection locked="1" hidden="0"/>
    </dxf>
    <dxf>
      <protection locked="1" hidden="0"/>
    </dxf>
    <dxf>
      <protection locked="1" hidden="0"/>
    </dxf>
  </dxfs>
  <tableStyles count="0" defaultTableStyle="TableStyleMedium2" defaultPivotStyle="PivotStyleLight16"/>
  <colors>
    <mruColors>
      <color rgb="FFC89400"/>
      <color rgb="FFDC6412"/>
      <color rgb="FFEF853D"/>
      <color rgb="FFF7C3A3"/>
      <color rgb="FFE97117"/>
      <color rgb="FFFFEDC9"/>
      <color rgb="FFFFFFCC"/>
      <color rgb="FFFFF3CD"/>
      <color rgb="FFE65100"/>
      <color rgb="FFFFF8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446196577367615E-2"/>
          <c:y val="0.12780482877301255"/>
          <c:w val="0.51035376858838399"/>
          <c:h val="0.73293622686117732"/>
        </c:manualLayout>
      </c:layout>
      <c:doughnutChart>
        <c:varyColors val="1"/>
        <c:ser>
          <c:idx val="0"/>
          <c:order val="0"/>
          <c:tx>
            <c:strRef>
              <c:f>HELPER!$B$6</c:f>
              <c:strCache>
                <c:ptCount val="1"/>
                <c:pt idx="0">
                  <c:v> Weight % 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18-494B-8349-E28BC551074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18-494B-8349-E28BC551074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18-494B-8349-E28BC551074C}"/>
              </c:ext>
            </c:extLst>
          </c:dPt>
          <c:dPt>
            <c:idx val="3"/>
            <c:bubble3D val="0"/>
            <c:spPr>
              <a:solidFill>
                <a:srgbClr val="0000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318-494B-8349-E28BC551074C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318-494B-8349-E28BC551074C}"/>
              </c:ext>
            </c:extLst>
          </c:dPt>
          <c:dLbls>
            <c:dLbl>
              <c:idx val="0"/>
              <c:layout>
                <c:manualLayout>
                  <c:x val="1.8380927579095097E-2"/>
                  <c:y val="-8.0047599791818677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7.7639133933498403E-2"/>
                      <c:h val="0.1202479934484113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318-494B-8349-E28BC551074C}"/>
                </c:ext>
              </c:extLst>
            </c:dLbl>
            <c:dLbl>
              <c:idx val="1"/>
              <c:layout>
                <c:manualLayout>
                  <c:x val="0.13013951702649493"/>
                  <c:y val="1.7625731568554414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8.1492253985213856E-2"/>
                      <c:h val="7.974703163029445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318-494B-8349-E28BC551074C}"/>
                </c:ext>
              </c:extLst>
            </c:dLbl>
            <c:dLbl>
              <c:idx val="2"/>
              <c:layout>
                <c:manualLayout>
                  <c:x val="-0.10176561909921648"/>
                  <c:y val="7.11338802345101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none" lIns="38100" tIns="19050" rIns="38100" bIns="19050" anchor="ctr" anchorCtr="0">
                  <a:noAutofit/>
                </a:bodyPr>
                <a:lstStyle/>
                <a:p>
                  <a:pPr algn="l" rtl="0">
                    <a:defRPr lang="en-US" sz="1050" b="1" i="0" u="none" strike="noStrike" kern="1200" baseline="0">
                      <a:ln>
                        <a:noFill/>
                      </a:ln>
                      <a:solidFill>
                        <a:schemeClr val="accent1">
                          <a:lumMod val="50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4651636581654912E-2"/>
                      <c:h val="0.1153489715944750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318-494B-8349-E28BC551074C}"/>
                </c:ext>
              </c:extLst>
            </c:dLbl>
            <c:dLbl>
              <c:idx val="3"/>
              <c:layout>
                <c:manualLayout>
                  <c:x val="-8.5513156204681667E-2"/>
                  <c:y val="-6.34619412133373E-2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7.8267155239330546E-2"/>
                      <c:h val="0.1072487792308516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318-494B-8349-E28BC551074C}"/>
                </c:ext>
              </c:extLst>
            </c:dLbl>
            <c:dLbl>
              <c:idx val="4"/>
              <c:layout>
                <c:manualLayout>
                  <c:x val="-7.3933284878000591E-2"/>
                  <c:y val="-6.962258843879315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none" lIns="38100" tIns="19050" rIns="38100" bIns="19050" anchor="ctr" anchorCtr="0">
                  <a:noAutofit/>
                </a:bodyPr>
                <a:lstStyle/>
                <a:p>
                  <a:pPr algn="l">
                    <a:defRPr lang="en-US" sz="1050" b="1" i="0" u="none" strike="noStrike" kern="1200" baseline="0">
                      <a:ln>
                        <a:noFill/>
                      </a:ln>
                      <a:solidFill>
                        <a:schemeClr val="accent1">
                          <a:lumMod val="50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182679674802192E-2"/>
                      <c:h val="0.1242980896302230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B318-494B-8349-E28BC55107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none" lIns="38100" tIns="19050" rIns="38100" bIns="19050" anchor="ctr" anchorCtr="0">
                <a:noAutofit/>
              </a:bodyPr>
              <a:lstStyle/>
              <a:p>
                <a:pPr algn="l">
                  <a:defRPr sz="1050" b="1" i="0" u="none" strike="noStrike" kern="1200" baseline="0">
                    <a:ln>
                      <a:noFill/>
                    </a:ln>
                    <a:solidFill>
                      <a:schemeClr val="accent1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HELPER!$A$7:$A$11</c:f>
              <c:strCache>
                <c:ptCount val="5"/>
                <c:pt idx="0">
                  <c:v>Nippon India Nifty BeES ETF</c:v>
                </c:pt>
                <c:pt idx="1">
                  <c:v>Nippon India Gold BeES ETF</c:v>
                </c:pt>
                <c:pt idx="2">
                  <c:v>Motilal Oswal Silver ETF</c:v>
                </c:pt>
                <c:pt idx="3">
                  <c:v>HDFC Bank Ltd</c:v>
                </c:pt>
                <c:pt idx="4">
                  <c:v>Reliance Industries Ltd</c:v>
                </c:pt>
              </c:strCache>
            </c:strRef>
          </c:cat>
          <c:val>
            <c:numRef>
              <c:f>HELPER!$B$7:$B$11</c:f>
              <c:numCache>
                <c:formatCode>0.0</c:formatCode>
                <c:ptCount val="5"/>
                <c:pt idx="0">
                  <c:v>30</c:v>
                </c:pt>
                <c:pt idx="1">
                  <c:v>25</c:v>
                </c:pt>
                <c:pt idx="2">
                  <c:v>10</c:v>
                </c:pt>
                <c:pt idx="3">
                  <c:v>20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318-494B-8349-E28BC5510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061166763102839"/>
          <c:y val="0.1622525575516772"/>
          <c:w val="0.32482622650467624"/>
          <c:h val="0.59913211000568811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lang="en-US" sz="1650" b="0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  <a:latin typeface="+mj-lt"/>
                <a:cs typeface="Times New Roman" panose="02020603050405020304" pitchFamily="18" charset="0"/>
              </a:rPr>
              <a:t>VOLATILITY RISK </a:t>
            </a:r>
            <a:r>
              <a:rPr lang="en-US" sz="1600" b="0" i="0" u="none" strike="noStrike" baseline="0">
                <a:effectLst/>
                <a:latin typeface="+mj-lt"/>
                <a:cs typeface="Times New Roman" panose="02020603050405020304" pitchFamily="18" charset="0"/>
              </a:rPr>
              <a:t>· WHO IS MOST DANGEROUS?</a:t>
            </a:r>
            <a:endParaRPr lang="en-US" sz="1600" b="0" i="0" u="none" strike="noStrike" kern="1200" spc="0" baseline="0">
              <a:solidFill>
                <a:schemeClr val="accent1">
                  <a:lumMod val="75000"/>
                </a:schemeClr>
              </a:solidFill>
              <a:latin typeface="+mj-lt"/>
              <a:ea typeface="+mn-ea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1.839423106817779E-2"/>
          <c:y val="2.84789942590319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lang="en-US" sz="1650" b="0" i="0" u="none" strike="noStrike" kern="1200" spc="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>
          <a:outerShdw blurRad="50800" dist="50800" dir="5400000" algn="ctr" rotWithShape="0">
            <a:srgbClr val="000000">
              <a:alpha val="0"/>
            </a:srgbClr>
          </a:outerShdw>
        </a:effectLst>
        <a:sp3d/>
      </c:spPr>
    </c:sideWall>
    <c:backWall>
      <c:thickness val="0"/>
      <c:spPr>
        <a:noFill/>
        <a:ln w="25400">
          <a:noFill/>
        </a:ln>
        <a:effectLst>
          <a:outerShdw blurRad="101600" dist="50800" dir="5400000" sx="200000" sy="200000" algn="ctr" rotWithShape="0">
            <a:srgbClr val="000000">
              <a:alpha val="0"/>
            </a:srgbClr>
          </a:outerShdw>
        </a:effectLst>
        <a:sp3d/>
      </c:spPr>
    </c:backWall>
    <c:plotArea>
      <c:layout>
        <c:manualLayout>
          <c:layoutTarget val="inner"/>
          <c:xMode val="edge"/>
          <c:yMode val="edge"/>
          <c:x val="0.3014712633441971"/>
          <c:y val="9.8084987853981245E-2"/>
          <c:w val="0.65267266201776775"/>
          <c:h val="0.8253949338143689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SECTOR!$B$1</c:f>
              <c:strCache>
                <c:ptCount val="1"/>
                <c:pt idx="0">
                  <c:v>price_range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A2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08CC-4D47-9235-90FB73C38254}"/>
              </c:ext>
            </c:extLst>
          </c:dPt>
          <c:dPt>
            <c:idx val="1"/>
            <c:invertIfNegative val="0"/>
            <c:bubble3D val="0"/>
            <c:spPr>
              <a:solidFill>
                <a:srgbClr val="ED661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08CC-4D47-9235-90FB73C38254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08CC-4D47-9235-90FB73C38254}"/>
              </c:ext>
            </c:extLst>
          </c:dPt>
          <c:dPt>
            <c:idx val="3"/>
            <c:invertIfNegative val="0"/>
            <c:bubble3D val="0"/>
            <c:spPr>
              <a:solidFill>
                <a:srgbClr val="B9D9A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08CC-4D47-9235-90FB73C3825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08CC-4D47-9235-90FB73C38254}"/>
              </c:ext>
            </c:extLst>
          </c:dPt>
          <c:dLbls>
            <c:dLbl>
              <c:idx val="0"/>
              <c:layout>
                <c:manualLayout>
                  <c:x val="1.386481802426343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CC-4D47-9235-90FB73C38254}"/>
                </c:ext>
              </c:extLst>
            </c:dLbl>
            <c:dLbl>
              <c:idx val="1"/>
              <c:layout>
                <c:manualLayout>
                  <c:x val="1.1637573344202229E-2"/>
                  <c:y val="8.136855502580569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CC-4D47-9235-90FB73C38254}"/>
                </c:ext>
              </c:extLst>
            </c:dLbl>
            <c:dLbl>
              <c:idx val="2"/>
              <c:layout>
                <c:manualLayout>
                  <c:x val="9.5750662943776543E-3"/>
                  <c:y val="8.051112823971555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CC-4D47-9235-90FB73C38254}"/>
                </c:ext>
              </c:extLst>
            </c:dLbl>
            <c:dLbl>
              <c:idx val="3"/>
              <c:layout>
                <c:manualLayout>
                  <c:x val="1.1554015020219442E-2"/>
                  <c:y val="-7.45869804718253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8CC-4D47-9235-90FB73C38254}"/>
                </c:ext>
              </c:extLst>
            </c:dLbl>
            <c:dLbl>
              <c:idx val="4"/>
              <c:layout>
                <c:manualLayout>
                  <c:x val="1.386481802426343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8CC-4D47-9235-90FB73C382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05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SECTOR!$A$2:$A$6</c:f>
              <c:strCache>
                <c:ptCount val="5"/>
                <c:pt idx="0">
                  <c:v>HDFC Bank Ltd</c:v>
                </c:pt>
                <c:pt idx="1">
                  <c:v>Reliance Industries Ltd</c:v>
                </c:pt>
                <c:pt idx="2">
                  <c:v>Nippon India Nifty BeES ETF</c:v>
                </c:pt>
                <c:pt idx="3">
                  <c:v>Nippon India Gold BeES ETF</c:v>
                </c:pt>
                <c:pt idx="4">
                  <c:v>Motilal Oswal Silver ETF</c:v>
                </c:pt>
              </c:strCache>
            </c:strRef>
          </c:cat>
          <c:val>
            <c:numRef>
              <c:f>SECTOR!$B$2:$B$6</c:f>
              <c:numCache>
                <c:formatCode>0.00</c:formatCode>
                <c:ptCount val="5"/>
                <c:pt idx="0">
                  <c:v>192.05</c:v>
                </c:pt>
                <c:pt idx="1">
                  <c:v>159</c:v>
                </c:pt>
                <c:pt idx="2">
                  <c:v>37.01</c:v>
                </c:pt>
                <c:pt idx="3">
                  <c:v>27.6</c:v>
                </c:pt>
                <c:pt idx="4">
                  <c:v>1.31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8CC-4D47-9235-90FB73C38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gapDepth val="162"/>
        <c:shape val="box"/>
        <c:axId val="78572879"/>
        <c:axId val="78574799"/>
        <c:axId val="0"/>
      </c:bar3DChart>
      <c:catAx>
        <c:axId val="785728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cap="flat" cmpd="sng"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1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8574799"/>
        <c:crosses val="autoZero"/>
        <c:auto val="1"/>
        <c:lblAlgn val="ctr"/>
        <c:lblOffset val="100"/>
        <c:noMultiLvlLbl val="0"/>
      </c:catAx>
      <c:valAx>
        <c:axId val="78574799"/>
        <c:scaling>
          <c:orientation val="minMax"/>
        </c:scaling>
        <c:delete val="1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7857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493497</xdr:colOff>
      <xdr:row>2</xdr:row>
      <xdr:rowOff>190315</xdr:rowOff>
    </xdr:from>
    <xdr:to>
      <xdr:col>4</xdr:col>
      <xdr:colOff>1030942</xdr:colOff>
      <xdr:row>6</xdr:row>
      <xdr:rowOff>112059</xdr:rowOff>
    </xdr:to>
    <xdr:sp macro="" textlink="HELPER!B15">
      <xdr:nvSpPr>
        <xdr:cNvPr id="2" name="Rectangle: Rounded Corners 1">
          <a:extLst>
            <a:ext uri="{FF2B5EF4-FFF2-40B4-BE49-F238E27FC236}">
              <a16:creationId xmlns:a16="http://schemas.microsoft.com/office/drawing/2014/main" id="{9B637352-C23D-4E84-84B4-EF1C78E9EF2A}"/>
            </a:ext>
          </a:extLst>
        </xdr:cNvPr>
        <xdr:cNvSpPr/>
      </xdr:nvSpPr>
      <xdr:spPr>
        <a:xfrm>
          <a:off x="3608732" y="907491"/>
          <a:ext cx="2756210" cy="762186"/>
        </a:xfrm>
        <a:prstGeom prst="roundRect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8EE5BE48-4AF6-4B96-84D3-87A9DE4486DE}" type="TxLink">
            <a:rPr lang="en-US" sz="1800" b="1" i="0" u="none" strike="noStrike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Calibri"/>
            </a:rPr>
            <a:pPr marL="0" indent="0" algn="ctr"/>
            <a:t>0.75</a:t>
          </a:fld>
          <a:endParaRPr lang="en-US" sz="1800" b="1" i="0" u="none" strike="noStrike">
            <a:solidFill>
              <a:schemeClr val="accent1">
                <a:lumMod val="75000"/>
              </a:schemeClr>
            </a:solidFill>
            <a:latin typeface="+mn-lt"/>
            <a:ea typeface="+mn-ea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 i="0" u="none" strike="noStrike" noProof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Calibri"/>
            </a:rPr>
            <a:t>Portfolio Beta</a:t>
          </a:r>
        </a:p>
        <a:p>
          <a:pPr marL="0" indent="0" algn="ctr"/>
          <a:endParaRPr lang="en-US" sz="1800" b="1" i="0" u="none" strike="noStrike">
            <a:solidFill>
              <a:schemeClr val="accent1">
                <a:lumMod val="75000"/>
              </a:schemeClr>
            </a:solidFill>
            <a:latin typeface="+mn-lt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353437</xdr:colOff>
      <xdr:row>3</xdr:row>
      <xdr:rowOff>11355</xdr:rowOff>
    </xdr:from>
    <xdr:to>
      <xdr:col>2</xdr:col>
      <xdr:colOff>1</xdr:colOff>
      <xdr:row>6</xdr:row>
      <xdr:rowOff>100852</xdr:rowOff>
    </xdr:to>
    <xdr:sp macro="" textlink="HELPER!B14">
      <xdr:nvSpPr>
        <xdr:cNvPr id="3" name="Rectangle: Rounded Corners 2">
          <a:extLst>
            <a:ext uri="{FF2B5EF4-FFF2-40B4-BE49-F238E27FC236}">
              <a16:creationId xmlns:a16="http://schemas.microsoft.com/office/drawing/2014/main" id="{48733B1F-A5A2-4420-A25B-3996141E59FD}"/>
            </a:ext>
          </a:extLst>
        </xdr:cNvPr>
        <xdr:cNvSpPr/>
      </xdr:nvSpPr>
      <xdr:spPr>
        <a:xfrm>
          <a:off x="353437" y="919031"/>
          <a:ext cx="2761799" cy="739439"/>
        </a:xfrm>
        <a:prstGeom prst="roundRect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fld id="{C37F28A2-8B02-4851-95F7-AE913CF2E4AF}" type="TxLink">
            <a:rPr lang="en-US" sz="1800" b="1" i="0" u="none" strike="noStrike">
              <a:solidFill>
                <a:schemeClr val="accent1"/>
              </a:solidFill>
              <a:latin typeface="Calibri"/>
              <a:ea typeface="+mn-ea"/>
              <a:cs typeface="Calibri"/>
            </a:rPr>
            <a:pPr marL="0" indent="0" algn="ctr"/>
            <a:t>11.49</a:t>
          </a:fld>
          <a:endParaRPr lang="en-US" sz="1800" b="1" i="0" u="none" strike="noStrike">
            <a:solidFill>
              <a:schemeClr val="accent1"/>
            </a:solidFill>
            <a:latin typeface="Calibri"/>
            <a:ea typeface="+mn-ea"/>
            <a:cs typeface="Calibri"/>
          </a:endParaRPr>
        </a:p>
        <a:p>
          <a:pPr marL="0" indent="0" algn="ctr"/>
          <a:r>
            <a:rPr lang="en-US" sz="1800" b="1" i="0" u="none" strike="noStrike" noProof="0">
              <a:solidFill>
                <a:schemeClr val="accent1"/>
              </a:solidFill>
              <a:latin typeface="Calibri"/>
              <a:ea typeface="+mn-ea"/>
              <a:cs typeface="Calibri"/>
            </a:rPr>
            <a:t>Expected Return</a:t>
          </a:r>
          <a:endParaRPr lang="en-US" sz="1800" b="1" i="0" u="none" strike="noStrike">
            <a:solidFill>
              <a:schemeClr val="accent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1252731</xdr:colOff>
      <xdr:row>3</xdr:row>
      <xdr:rowOff>9095</xdr:rowOff>
    </xdr:from>
    <xdr:to>
      <xdr:col>9</xdr:col>
      <xdr:colOff>369796</xdr:colOff>
      <xdr:row>6</xdr:row>
      <xdr:rowOff>134470</xdr:rowOff>
    </xdr:to>
    <xdr:sp macro="" textlink="HELPER!B16">
      <xdr:nvSpPr>
        <xdr:cNvPr id="4" name="Rectangle: Rounded Corners 3">
          <a:extLst>
            <a:ext uri="{FF2B5EF4-FFF2-40B4-BE49-F238E27FC236}">
              <a16:creationId xmlns:a16="http://schemas.microsoft.com/office/drawing/2014/main" id="{BD363ACC-777B-4398-A792-94C9DB74BE6A}"/>
            </a:ext>
          </a:extLst>
        </xdr:cNvPr>
        <xdr:cNvSpPr/>
      </xdr:nvSpPr>
      <xdr:spPr>
        <a:xfrm>
          <a:off x="9903672" y="916771"/>
          <a:ext cx="2669330" cy="775317"/>
        </a:xfrm>
        <a:prstGeom prst="roundRect">
          <a:avLst>
            <a:gd name="adj" fmla="val 25333"/>
          </a:avLst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A99DCD7C-E3AB-4186-96A0-EC4B9608B893}" type="TxLink">
            <a:rPr lang="en-US" sz="1600" b="1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Calibri"/>
              <a:ea typeface="+mn-ea"/>
              <a:cs typeface="Calibri"/>
            </a:rPr>
            <a:pPr marL="0" indent="0" algn="ctr"/>
            <a:t>5</a:t>
          </a:fld>
          <a:endParaRPr lang="en-US" sz="1600" b="1" i="0" u="none" strike="noStrike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Calibri"/>
            <a:ea typeface="+mn-ea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u="none" strike="noStrike" cap="none" spc="0" noProof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Calibri"/>
              <a:ea typeface="+mn-ea"/>
              <a:cs typeface="Calibri"/>
            </a:rPr>
            <a:t>Assets · 3 Classes</a:t>
          </a:r>
        </a:p>
        <a:p>
          <a:pPr marL="0" indent="0" algn="ctr"/>
          <a:endParaRPr lang="en-US" sz="1600" b="1" i="0" u="none" strike="noStrike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5</xdr:col>
      <xdr:colOff>277043</xdr:colOff>
      <xdr:row>3</xdr:row>
      <xdr:rowOff>7640</xdr:rowOff>
    </xdr:from>
    <xdr:to>
      <xdr:col>6</xdr:col>
      <xdr:colOff>821666</xdr:colOff>
      <xdr:row>6</xdr:row>
      <xdr:rowOff>128651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E1FEE80-4ECF-4B97-AFA3-2F0C60880FA3}"/>
            </a:ext>
          </a:extLst>
        </xdr:cNvPr>
        <xdr:cNvSpPr/>
      </xdr:nvSpPr>
      <xdr:spPr>
        <a:xfrm>
          <a:off x="6709219" y="915316"/>
          <a:ext cx="2763388" cy="770953"/>
        </a:xfrm>
        <a:prstGeom prst="roundRect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800" b="1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₹1L</a:t>
          </a:r>
        </a:p>
        <a:p>
          <a:pPr marL="0" indent="0" algn="ctr"/>
          <a:r>
            <a:rPr lang="en-US" sz="1600">
              <a:solidFill>
                <a:schemeClr val="accent1">
                  <a:lumMod val="50000"/>
                </a:schemeClr>
              </a:solidFill>
              <a:latin typeface="+mn-lt"/>
              <a:cs typeface="Arial" panose="020B0604020202020204" pitchFamily="34" charset="0"/>
            </a:rPr>
            <a:t>Capital Deployed</a:t>
          </a:r>
          <a:endParaRPr lang="en-US" sz="1600" b="1" i="0" u="none" strike="noStrike">
            <a:solidFill>
              <a:schemeClr val="accent1">
                <a:lumMod val="50000"/>
              </a:schemeClr>
            </a:solidFill>
            <a:latin typeface="+mn-lt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235773</xdr:colOff>
      <xdr:row>2</xdr:row>
      <xdr:rowOff>187339</xdr:rowOff>
    </xdr:from>
    <xdr:to>
      <xdr:col>14</xdr:col>
      <xdr:colOff>481852</xdr:colOff>
      <xdr:row>6</xdr:row>
      <xdr:rowOff>123265</xdr:rowOff>
    </xdr:to>
    <xdr:sp macro="" textlink="HELPER!B18">
      <xdr:nvSpPr>
        <xdr:cNvPr id="6" name="Rectangle: Rounded Corners 5">
          <a:extLst>
            <a:ext uri="{FF2B5EF4-FFF2-40B4-BE49-F238E27FC236}">
              <a16:creationId xmlns:a16="http://schemas.microsoft.com/office/drawing/2014/main" id="{59324205-BA9E-418F-83D9-23299C266FDE}"/>
            </a:ext>
          </a:extLst>
        </xdr:cNvPr>
        <xdr:cNvSpPr/>
      </xdr:nvSpPr>
      <xdr:spPr>
        <a:xfrm>
          <a:off x="13044097" y="904515"/>
          <a:ext cx="2666549" cy="776368"/>
        </a:xfrm>
        <a:prstGeom prst="roundRect">
          <a:avLst>
            <a:gd name="adj" fmla="val 19231"/>
          </a:avLst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3B21809D-DCE1-4219-AA6A-B536C3EE779B}" type="TxLink">
            <a:rPr lang="en-US" sz="1800" b="1" i="0" u="none" strike="noStrike">
              <a:solidFill>
                <a:schemeClr val="accent6">
                  <a:lumMod val="75000"/>
                </a:schemeClr>
              </a:solidFill>
              <a:latin typeface="Calibri"/>
              <a:ea typeface="+mn-ea"/>
              <a:cs typeface="Calibri"/>
            </a:rPr>
            <a:pPr marL="0" indent="0" algn="ctr"/>
            <a:t>+4.49%</a:t>
          </a:fld>
          <a:endParaRPr lang="en-US" sz="1800" b="1" i="0" u="none" strike="noStrike">
            <a:solidFill>
              <a:schemeClr val="accent6">
                <a:lumMod val="75000"/>
              </a:schemeClr>
            </a:solidFill>
            <a:latin typeface="Calibri"/>
            <a:ea typeface="+mn-ea"/>
            <a:cs typeface="Calibri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 i="0" u="none" strike="noStrike" noProof="0">
              <a:solidFill>
                <a:schemeClr val="accent5">
                  <a:lumMod val="50000"/>
                </a:schemeClr>
              </a:solidFill>
              <a:latin typeface="Calibri"/>
              <a:ea typeface="+mn-ea"/>
              <a:cs typeface="Calibri"/>
            </a:rPr>
            <a:t>Above Risk-Free</a:t>
          </a:r>
        </a:p>
        <a:p>
          <a:pPr marL="0" indent="0" algn="ctr"/>
          <a:endParaRPr lang="en-US" sz="1800" b="1" i="0" u="none" strike="noStrike">
            <a:solidFill>
              <a:schemeClr val="accent6">
                <a:lumMod val="75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87610</xdr:colOff>
      <xdr:row>10</xdr:row>
      <xdr:rowOff>8251</xdr:rowOff>
    </xdr:from>
    <xdr:to>
      <xdr:col>6</xdr:col>
      <xdr:colOff>190500</xdr:colOff>
      <xdr:row>24</xdr:row>
      <xdr:rowOff>125303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9C5FB741-1BA3-4B55-9BC0-34F71CD160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415636</xdr:colOff>
      <xdr:row>9</xdr:row>
      <xdr:rowOff>150520</xdr:rowOff>
    </xdr:from>
    <xdr:to>
      <xdr:col>15</xdr:col>
      <xdr:colOff>294409</xdr:colOff>
      <xdr:row>24</xdr:row>
      <xdr:rowOff>33618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9BEE32B3-AC7B-4345-A031-44936C38C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257736</xdr:colOff>
      <xdr:row>26</xdr:row>
      <xdr:rowOff>100853</xdr:rowOff>
    </xdr:from>
    <xdr:to>
      <xdr:col>6</xdr:col>
      <xdr:colOff>134470</xdr:colOff>
      <xdr:row>30</xdr:row>
      <xdr:rowOff>89647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E0436BE-1E56-4029-9472-3D3302474626}"/>
            </a:ext>
          </a:extLst>
        </xdr:cNvPr>
        <xdr:cNvSpPr/>
      </xdr:nvSpPr>
      <xdr:spPr>
        <a:xfrm>
          <a:off x="257736" y="5053853"/>
          <a:ext cx="3534334" cy="750794"/>
        </a:xfrm>
        <a:prstGeom prst="roundRect">
          <a:avLst/>
        </a:prstGeom>
        <a:solidFill>
          <a:schemeClr val="bg2"/>
        </a:solidFill>
        <a:ln w="38100">
          <a:solidFill>
            <a:srgbClr val="1E335C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b="1">
              <a:solidFill>
                <a:schemeClr val="accent1">
                  <a:lumMod val="75000"/>
                </a:schemeClr>
              </a:solidFill>
            </a:rPr>
            <a:t>BALANCED SCENARIO</a:t>
          </a:r>
        </a:p>
        <a:p>
          <a:pPr algn="ctr"/>
          <a:r>
            <a:rPr lang="en-US" sz="2400" b="1" i="1">
              <a:solidFill>
                <a:schemeClr val="accent1">
                  <a:lumMod val="75000"/>
                </a:schemeClr>
              </a:solidFill>
            </a:rPr>
            <a:t>11.49%</a:t>
          </a:r>
        </a:p>
        <a:p>
          <a:pPr algn="ctr"/>
          <a:r>
            <a:rPr lang="en-US" sz="1600">
              <a:solidFill>
                <a:schemeClr val="accent1">
                  <a:lumMod val="75000"/>
                </a:schemeClr>
              </a:solidFill>
              <a:latin typeface="+mj-lt"/>
            </a:rPr>
            <a:t>Beta(</a:t>
          </a:r>
          <a:r>
            <a:rPr lang="el-GR" sz="1600">
              <a:solidFill>
                <a:schemeClr val="accent1">
                  <a:lumMod val="75000"/>
                </a:schemeClr>
              </a:solidFill>
              <a:latin typeface="+mj-lt"/>
            </a:rPr>
            <a:t>β) = 0.75 · </a:t>
          </a:r>
          <a:r>
            <a:rPr lang="en-US" sz="1600">
              <a:solidFill>
                <a:schemeClr val="accent1">
                  <a:lumMod val="75000"/>
                </a:schemeClr>
              </a:solidFill>
              <a:latin typeface="+mj-lt"/>
            </a:rPr>
            <a:t>Low-Medium Risk</a:t>
          </a:r>
          <a:endParaRPr lang="en-US" sz="1000">
            <a:solidFill>
              <a:schemeClr val="accent1">
                <a:lumMod val="75000"/>
              </a:schemeClr>
            </a:solidFill>
            <a:latin typeface="+mj-lt"/>
          </a:endParaRPr>
        </a:p>
      </xdr:txBody>
    </xdr:sp>
    <xdr:clientData/>
  </xdr:twoCellAnchor>
  <xdr:twoCellAnchor>
    <xdr:from>
      <xdr:col>6</xdr:col>
      <xdr:colOff>533400</xdr:colOff>
      <xdr:row>26</xdr:row>
      <xdr:rowOff>118781</xdr:rowOff>
    </xdr:from>
    <xdr:to>
      <xdr:col>13</xdr:col>
      <xdr:colOff>437030</xdr:colOff>
      <xdr:row>30</xdr:row>
      <xdr:rowOff>112059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AC92746E-5AAA-4333-B07E-9D089E6C9613}"/>
            </a:ext>
          </a:extLst>
        </xdr:cNvPr>
        <xdr:cNvSpPr/>
      </xdr:nvSpPr>
      <xdr:spPr>
        <a:xfrm>
          <a:off x="4191000" y="5071781"/>
          <a:ext cx="4170830" cy="755278"/>
        </a:xfrm>
        <a:prstGeom prst="roundRect">
          <a:avLst/>
        </a:prstGeom>
        <a:solidFill>
          <a:schemeClr val="bg2"/>
        </a:solidFill>
        <a:ln w="38100">
          <a:solidFill>
            <a:srgbClr val="9A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000" b="1">
              <a:solidFill>
                <a:srgbClr val="A80000"/>
              </a:solidFill>
              <a:latin typeface="+mn-lt"/>
              <a:ea typeface="+mn-ea"/>
              <a:cs typeface="+mn-cs"/>
            </a:rPr>
            <a:t>AGGRESSIVE SCENARIO</a:t>
          </a:r>
        </a:p>
        <a:p>
          <a:pPr marL="0" indent="0" algn="ctr"/>
          <a:r>
            <a:rPr lang="en-US" sz="2400" b="1" i="1">
              <a:solidFill>
                <a:srgbClr val="A80000"/>
              </a:solidFill>
              <a:latin typeface="+mn-lt"/>
              <a:ea typeface="+mn-ea"/>
              <a:cs typeface="+mn-cs"/>
            </a:rPr>
            <a:t>13.54%</a:t>
          </a:r>
        </a:p>
        <a:p>
          <a:pPr marL="0" indent="0" algn="ctr"/>
          <a:r>
            <a:rPr lang="en-US" sz="1600" b="0">
              <a:solidFill>
                <a:srgbClr val="A80000"/>
              </a:solidFill>
              <a:latin typeface="+mj-lt"/>
              <a:ea typeface="+mn-ea"/>
              <a:cs typeface="+mn-cs"/>
            </a:rPr>
            <a:t>Beta(</a:t>
          </a:r>
          <a:r>
            <a:rPr lang="el-GR" sz="1600" b="0">
              <a:solidFill>
                <a:srgbClr val="A80000"/>
              </a:solidFill>
              <a:latin typeface="+mj-lt"/>
              <a:ea typeface="+mn-ea"/>
              <a:cs typeface="+mn-cs"/>
            </a:rPr>
            <a:t>β) = 1.09 · </a:t>
          </a:r>
          <a:r>
            <a:rPr lang="en-US" sz="1600" b="0">
              <a:solidFill>
                <a:srgbClr val="A80000"/>
              </a:solidFill>
              <a:latin typeface="+mj-lt"/>
              <a:ea typeface="+mn-ea"/>
              <a:cs typeface="+mn-cs"/>
            </a:rPr>
            <a:t>Medium Risk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39781</xdr:rowOff>
    </xdr:from>
    <xdr:ext cx="502941" cy="291342"/>
    <xdr:pic>
      <xdr:nvPicPr>
        <xdr:cNvPr id="2" name="Picture 1">
          <a:extLst>
            <a:ext uri="{FF2B5EF4-FFF2-40B4-BE49-F238E27FC236}">
              <a16:creationId xmlns:a16="http://schemas.microsoft.com/office/drawing/2014/main" id="{A4CB6D09-14A6-4C1B-9BD4-E004A0B31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9781"/>
          <a:ext cx="502941" cy="291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95247</xdr:colOff>
      <xdr:row>7</xdr:row>
      <xdr:rowOff>13607</xdr:rowOff>
    </xdr:from>
    <xdr:to>
      <xdr:col>1</xdr:col>
      <xdr:colOff>449036</xdr:colOff>
      <xdr:row>14</xdr:row>
      <xdr:rowOff>131269</xdr:rowOff>
    </xdr:to>
    <xdr:sp macro="" textlink="HELPER!B21">
      <xdr:nvSpPr>
        <xdr:cNvPr id="3" name="Rectangle: Rounded Corners 2">
          <a:extLst>
            <a:ext uri="{FF2B5EF4-FFF2-40B4-BE49-F238E27FC236}">
              <a16:creationId xmlns:a16="http://schemas.microsoft.com/office/drawing/2014/main" id="{F71AD19D-8BF6-4660-AC06-D5053DFCED29}"/>
            </a:ext>
          </a:extLst>
        </xdr:cNvPr>
        <xdr:cNvSpPr/>
      </xdr:nvSpPr>
      <xdr:spPr>
        <a:xfrm>
          <a:off x="95247" y="1700893"/>
          <a:ext cx="3020789" cy="1451162"/>
        </a:xfrm>
        <a:prstGeom prst="roundRect">
          <a:avLst/>
        </a:prstGeom>
        <a:ln w="28575">
          <a:solidFill>
            <a:schemeClr val="accent1">
              <a:lumMod val="50000"/>
            </a:schemeClr>
          </a:solidFill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en-US" sz="1600" b="1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RBI Repo Rate</a:t>
          </a:r>
          <a:endParaRPr lang="en-US" sz="2400" b="1">
            <a:solidFill>
              <a:schemeClr val="bg2">
                <a:lumMod val="25000"/>
              </a:schemeClr>
            </a:solidFill>
            <a:effectLst/>
          </a:endParaRPr>
        </a:p>
        <a:p>
          <a:pPr eaLnBrk="1" fontAlgn="auto" latinLnBrk="0" hangingPunct="1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fld id="{559748FF-FC47-41AE-B43D-2E2BEBD7BC25}" type="TxLink">
            <a:rPr lang="en-US" sz="2400" b="1">
              <a:solidFill>
                <a:schemeClr val="bg2">
                  <a:lumMod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eaLnBrk="1" fontAlgn="auto" latinLnBrk="0" hangingPunct="1"/>
            <a:t>6.25%</a:t>
          </a:fld>
          <a:endParaRPr lang="en-US" sz="1600" b="1">
            <a:solidFill>
              <a:schemeClr val="bg2">
                <a:lumMod val="25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FF681D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▼ Cut 25bps Feb'26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rgbClr val="E7E6E6">
                  <a:lumMod val="25000"/>
                </a:srgb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↑ Positive for equity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rgbClr val="E7E6E6">
                <a:lumMod val="25000"/>
              </a:srgb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eaLnBrk="1" fontAlgn="auto" latinLnBrk="0" hangingPunct="1"/>
          <a:endParaRPr lang="en-US" sz="1600" b="1">
            <a:solidFill>
              <a:schemeClr val="bg2">
                <a:lumMod val="25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1229683</xdr:colOff>
      <xdr:row>7</xdr:row>
      <xdr:rowOff>19371</xdr:rowOff>
    </xdr:from>
    <xdr:to>
      <xdr:col>4</xdr:col>
      <xdr:colOff>922884</xdr:colOff>
      <xdr:row>14</xdr:row>
      <xdr:rowOff>120062</xdr:rowOff>
    </xdr:to>
    <xdr:sp macro="" textlink="HELPER!B22">
      <xdr:nvSpPr>
        <xdr:cNvPr id="4" name="Rectangle: Rounded Corners 3">
          <a:extLst>
            <a:ext uri="{FF2B5EF4-FFF2-40B4-BE49-F238E27FC236}">
              <a16:creationId xmlns:a16="http://schemas.microsoft.com/office/drawing/2014/main" id="{8F29A0D7-F6F3-4898-85A0-43DFE4997AF6}"/>
            </a:ext>
          </a:extLst>
        </xdr:cNvPr>
        <xdr:cNvSpPr/>
      </xdr:nvSpPr>
      <xdr:spPr>
        <a:xfrm>
          <a:off x="3896683" y="1706657"/>
          <a:ext cx="3149415" cy="1434191"/>
        </a:xfrm>
        <a:prstGeom prst="roundRect">
          <a:avLst/>
        </a:prstGeom>
        <a:ln w="28575">
          <a:solidFill>
            <a:srgbClr val="D08600"/>
          </a:solidFill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E7E6E6">
                  <a:lumMod val="25000"/>
                </a:srgb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India VIX </a:t>
          </a:r>
        </a:p>
        <a:p>
          <a:pPr marL="0" lvl="0" indent="0" algn="l"/>
          <a:fld id="{9E7084DE-41B3-4D0E-9FAF-15EEA7B9B285}" type="TxLink">
            <a:rPr lang="en-US" sz="2400" b="1" i="0" u="none" strike="noStrike">
              <a:solidFill>
                <a:srgbClr val="FF681D"/>
              </a:solidFill>
              <a:latin typeface="Calibri"/>
              <a:ea typeface="+mn-ea"/>
              <a:cs typeface="Calibri"/>
            </a:rPr>
            <a:pPr marL="0" lvl="0" indent="0" algn="l"/>
            <a:t>14.20</a:t>
          </a:fld>
          <a:endParaRPr lang="en-US" sz="2400" b="1" i="0" u="none" strike="noStrike">
            <a:solidFill>
              <a:srgbClr val="FF681D"/>
            </a:solidFill>
            <a:latin typeface="Calibri"/>
            <a:ea typeface="+mn-ea"/>
            <a:cs typeface="Calibri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0" i="0" u="none" strike="noStrike" kern="0" cap="none" spc="0" normalizeH="0" baseline="0" noProof="0">
              <a:ln>
                <a:noFill/>
              </a:ln>
              <a:solidFill>
                <a:srgbClr val="70AD47">
                  <a:lumMod val="75000"/>
                </a:srgbClr>
              </a:solidFill>
              <a:effectLst/>
              <a:uLnTx/>
              <a:uFillTx/>
              <a:latin typeface="+mn-lt"/>
              <a:ea typeface="+mn-ea"/>
              <a:cs typeface="Arial" panose="020B0604020202020204" pitchFamily="34" charset="0"/>
            </a:rPr>
            <a:t>▼ Low Volatility Zone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rgbClr val="E7E6E6">
                  <a:lumMod val="25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↑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rgbClr val="E7E6E6">
                  <a:lumMod val="25000"/>
                </a:srgbClr>
              </a:solidFill>
              <a:effectLst/>
              <a:uLnTx/>
              <a:uFillTx/>
              <a:latin typeface="+mn-lt"/>
              <a:ea typeface="+mn-ea"/>
              <a:cs typeface="Arial" panose="020B0604020202020204" pitchFamily="34" charset="0"/>
            </a:rPr>
            <a:t>Calm = good for hold</a:t>
          </a:r>
          <a:endParaRPr lang="en-US" sz="1600" b="0">
            <a:solidFill>
              <a:schemeClr val="bg2">
                <a:lumMod val="25000"/>
              </a:schemeClr>
            </a:solidFill>
            <a:latin typeface="+mn-lt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120422</xdr:colOff>
      <xdr:row>7</xdr:row>
      <xdr:rowOff>32019</xdr:rowOff>
    </xdr:from>
    <xdr:to>
      <xdr:col>6</xdr:col>
      <xdr:colOff>1506682</xdr:colOff>
      <xdr:row>14</xdr:row>
      <xdr:rowOff>158763</xdr:rowOff>
    </xdr:to>
    <xdr:sp macro="" textlink="HELPER!B23">
      <xdr:nvSpPr>
        <xdr:cNvPr id="5" name="Rectangle: Rounded Corners 4">
          <a:extLst>
            <a:ext uri="{FF2B5EF4-FFF2-40B4-BE49-F238E27FC236}">
              <a16:creationId xmlns:a16="http://schemas.microsoft.com/office/drawing/2014/main" id="{933F76A6-F6A5-45B0-B44A-9ABF9B2224C0}"/>
            </a:ext>
          </a:extLst>
        </xdr:cNvPr>
        <xdr:cNvSpPr/>
      </xdr:nvSpPr>
      <xdr:spPr>
        <a:xfrm>
          <a:off x="7636513" y="1729201"/>
          <a:ext cx="3239305" cy="1460244"/>
        </a:xfrm>
        <a:prstGeom prst="roundRect">
          <a:avLst/>
        </a:prstGeom>
        <a:ln w="28575">
          <a:solidFill>
            <a:schemeClr val="accent6">
              <a:lumMod val="75000"/>
            </a:schemeClr>
          </a:solidFill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E7E6E6">
                  <a:lumMod val="25000"/>
                </a:srgb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FII Net Flow (May) </a:t>
          </a:r>
        </a:p>
        <a:p>
          <a:pPr marL="0" lvl="0" indent="0" algn="l"/>
          <a:fld id="{8E0C9006-CD38-479D-8A78-3A8864DB6B94}" type="TxLink">
            <a:rPr lang="en-US" sz="2400" b="1" i="0" u="none" strike="noStrike">
              <a:solidFill>
                <a:schemeClr val="accent6">
                  <a:lumMod val="75000"/>
                </a:schemeClr>
              </a:solidFill>
              <a:latin typeface="Calibri"/>
              <a:ea typeface="+mn-ea"/>
              <a:cs typeface="Calibri"/>
            </a:rPr>
            <a:pPr marL="0" lvl="0" indent="0" algn="l"/>
            <a:t>+₹8420 Cr</a:t>
          </a:fld>
          <a:endParaRPr lang="en-US" sz="2400" b="1" i="0" u="none" strike="noStrike">
            <a:solidFill>
              <a:schemeClr val="accent6">
                <a:lumMod val="75000"/>
              </a:schemeClr>
            </a:solidFill>
            <a:latin typeface="Calibri"/>
            <a:ea typeface="+mn-ea"/>
            <a:cs typeface="Calibri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0" i="0" u="none" strike="noStrike" kern="0" cap="none" spc="0" normalizeH="0" baseline="0" noProof="0">
              <a:ln>
                <a:noFill/>
              </a:ln>
              <a:solidFill>
                <a:srgbClr val="70AD47">
                  <a:lumMod val="75000"/>
                </a:srgbClr>
              </a:solidFill>
              <a:effectLst/>
              <a:uLnTx/>
              <a:uFillTx/>
              <a:latin typeface="+mn-lt"/>
              <a:ea typeface="+mn-ea"/>
              <a:cs typeface="Arial" panose="020B0604020202020204" pitchFamily="34" charset="0"/>
            </a:rPr>
            <a:t>▲ Net Buyers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rgbClr val="E7E6E6">
                  <a:lumMod val="25000"/>
                </a:srgbClr>
              </a:solidFill>
              <a:effectLst/>
              <a:uLnTx/>
              <a:uFillTx/>
              <a:latin typeface="+mn-lt"/>
              <a:ea typeface="+mn-ea"/>
              <a:cs typeface="Arial" panose="020B0604020202020204" pitchFamily="34" charset="0"/>
            </a:rPr>
            <a:t>Supports NiftyBEES bullish</a:t>
          </a:r>
        </a:p>
        <a:p>
          <a:pPr marL="0" lvl="0" indent="0" algn="l"/>
          <a:endParaRPr lang="en-US" sz="1600" b="0">
            <a:solidFill>
              <a:schemeClr val="bg2">
                <a:lumMod val="25000"/>
              </a:schemeClr>
            </a:solidFill>
            <a:latin typeface="+mn-lt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480696</xdr:colOff>
      <xdr:row>7</xdr:row>
      <xdr:rowOff>15927</xdr:rowOff>
    </xdr:from>
    <xdr:to>
      <xdr:col>10</xdr:col>
      <xdr:colOff>327809</xdr:colOff>
      <xdr:row>15</xdr:row>
      <xdr:rowOff>27214</xdr:rowOff>
    </xdr:to>
    <xdr:sp macro="" textlink="HELPER!B24">
      <xdr:nvSpPr>
        <xdr:cNvPr id="6" name="Rectangle: Rounded Corners 5">
          <a:extLst>
            <a:ext uri="{FF2B5EF4-FFF2-40B4-BE49-F238E27FC236}">
              <a16:creationId xmlns:a16="http://schemas.microsoft.com/office/drawing/2014/main" id="{F5E4A928-27CB-499A-B845-C0726B8A997F}"/>
            </a:ext>
          </a:extLst>
        </xdr:cNvPr>
        <xdr:cNvSpPr/>
      </xdr:nvSpPr>
      <xdr:spPr>
        <a:xfrm>
          <a:off x="11408469" y="1713109"/>
          <a:ext cx="3241476" cy="1535287"/>
        </a:xfrm>
        <a:prstGeom prst="roundRect">
          <a:avLst/>
        </a:prstGeom>
        <a:ln w="28575">
          <a:solidFill>
            <a:schemeClr val="bg1">
              <a:lumMod val="75000"/>
            </a:schemeClr>
          </a:solidFill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E7E6E6">
                  <a:lumMod val="25000"/>
                </a:srgb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USD / INR</a:t>
          </a:r>
        </a:p>
        <a:p>
          <a:pPr marL="0" lvl="0" indent="0" algn="l"/>
          <a:fld id="{026405EB-F1FC-42BB-811B-7E97F3E6D8E4}" type="TxLink">
            <a:rPr lang="en-US" sz="2400" b="1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+mn-ea"/>
              <a:cs typeface="Calibri"/>
            </a:rPr>
            <a:pPr marL="0" lvl="0" indent="0" algn="l"/>
            <a:t>95.07</a:t>
          </a:fld>
          <a:endParaRPr lang="en-US" sz="2400" b="1" i="0" u="none" strike="noStrike">
            <a:solidFill>
              <a:schemeClr val="accent1">
                <a:lumMod val="75000"/>
              </a:schemeClr>
            </a:solidFill>
            <a:latin typeface="Calibri"/>
            <a:ea typeface="+mn-ea"/>
            <a:cs typeface="Calibri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▲ Rupee Weak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rgbClr val="E7E6E6">
                  <a:lumMod val="25000"/>
                </a:srgbClr>
              </a:solidFill>
              <a:effectLst/>
              <a:uLnTx/>
              <a:uFillTx/>
              <a:latin typeface="+mn-lt"/>
              <a:ea typeface="+mn-ea"/>
              <a:cs typeface="Arial" panose="020B0604020202020204" pitchFamily="34" charset="0"/>
            </a:rPr>
            <a:t>↑ Boosts Gold ETF returns</a:t>
          </a:r>
        </a:p>
        <a:p>
          <a:pPr marL="0" lvl="0" indent="0" algn="l"/>
          <a:endParaRPr lang="en-US" sz="1600" b="0">
            <a:solidFill>
              <a:schemeClr val="bg2">
                <a:lumMod val="25000"/>
              </a:schemeClr>
            </a:solidFill>
            <a:latin typeface="+mn-lt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" xr16:uid="{84CA704C-3362-4FB4-B24E-44D846A93353}" autoFormatId="16" applyNumberFormats="0" applyBorderFormats="0" applyFontFormats="0" applyPatternFormats="0" applyAlignmentFormats="0" applyWidthHeightFormats="0">
  <queryTableRefresh nextId="4">
    <queryTableFields count="3">
      <queryTableField id="1" name="asset_name" tableColumnId="1"/>
      <queryTableField id="2" name="balanced_weight" tableColumnId="2"/>
      <queryTableField id="3" name="aggressive_weigh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9F262964-FB18-4A83-A849-534004A32BE2}" autoFormatId="16" applyNumberFormats="0" applyBorderFormats="0" applyFontFormats="0" applyPatternFormats="0" applyAlignmentFormats="0" applyWidthHeightFormats="0">
  <queryTableRefresh nextId="4">
    <queryTableFields count="3">
      <queryTableField id="1" name="asset_type" tableColumnId="1"/>
      <queryTableField id="2" name="total_assets" tableColumnId="2"/>
      <queryTableField id="3" name="average_pric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5" xr16:uid="{70A67049-DEBB-4DA7-A48F-B90F73F9596A}" autoFormatId="16" applyNumberFormats="0" applyBorderFormats="0" applyFontFormats="0" applyPatternFormats="0" applyAlignmentFormats="0" applyWidthHeightFormats="0">
  <queryTableRefresh nextId="4">
    <queryTableFields count="3">
      <queryTableField id="1" name="asset_name" tableColumnId="1"/>
      <queryTableField id="2" name="price_range" tableColumnId="2"/>
      <queryTableField id="3" name="sector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2" xr16:uid="{20A5B190-0A6F-4A7F-91BA-D7F3865988FF}" autoFormatId="16" applyNumberFormats="0" applyBorderFormats="0" applyFontFormats="0" applyPatternFormats="0" applyAlignmentFormats="0" applyWidthHeightFormats="0">
  <queryTableRefresh nextId="4">
    <queryTableFields count="3">
      <queryTableField id="1" name="portfolio_type" tableColumnId="1"/>
      <queryTableField id="2" name="expected_return_percent" tableColumnId="2"/>
      <queryTableField id="3" name="weighted_portfolio_beta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7B6B634D-0469-4C92-8E10-9E4092F4965C}" autoFormatId="16" applyNumberFormats="0" applyBorderFormats="0" applyFontFormats="0" applyPatternFormats="0" applyAlignmentFormats="0" applyWidthHeightFormats="0">
  <queryTableRefresh nextId="7">
    <queryTableFields count="6">
      <queryTableField id="1" name="scenario" tableColumnId="1"/>
      <queryTableField id="2" name="asset_name" tableColumnId="2"/>
      <queryTableField id="3" name="beta" tableColumnId="3"/>
      <queryTableField id="4" name="expected_return" tableColumnId="4"/>
      <queryTableField id="5" name="weight_percent" tableColumnId="5"/>
      <queryTableField id="6" name="weighted_return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DBCEE18-9229-4B3A-BA3F-D9E2D2EF22E2}" autoFormatId="16" applyNumberFormats="0" applyBorderFormats="0" applyFontFormats="0" applyPatternFormats="0" applyAlignmentFormats="0" applyWidthHeightFormats="0">
  <queryTableRefresh nextId="12">
    <queryTableFields count="11">
      <queryTableField id="1" name="asset_id" tableColumnId="1"/>
      <queryTableField id="2" name="asset_name" tableColumnId="2"/>
      <queryTableField id="3" name="asset_type" tableColumnId="3"/>
      <queryTableField id="4" name="sector" tableColumnId="4"/>
      <queryTableField id="5" name="avg_price" tableColumnId="5"/>
      <queryTableField id="6" name="max_price" tableColumnId="6"/>
      <queryTableField id="7" name="min_price" tableColumnId="7"/>
      <queryTableField id="8" name="avg_volume" tableColumnId="8"/>
      <queryTableField id="9" name="total_days" tableColumnId="9"/>
      <queryTableField id="10" name="invested_amt" tableColumnId="10"/>
      <queryTableField id="11" name="weight_percent" tableColumnId="11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60A3ED-BBDA-45DB-88EC-4DE1D179433F}" name="Table1" displayName="Table1" ref="A38:H43" totalsRowShown="0" headerRowDxfId="54" dataDxfId="53">
  <autoFilter ref="A38:H43" xr:uid="{5B60A3ED-BBDA-45DB-88EC-4DE1D179433F}"/>
  <tableColumns count="8">
    <tableColumn id="1" xr3:uid="{2D2065B1-0E67-42E6-AA12-B0C836ECA88C}" name="asset_name" dataDxfId="52"/>
    <tableColumn id="2" xr3:uid="{E00E5AA4-E894-4B7F-B2F4-D8AAF9FEAE80}" name="asset_type" dataDxfId="51"/>
    <tableColumn id="3" xr3:uid="{0E355E5F-CF19-4BC5-A236-46E71881D55F}" name="avg_price" dataDxfId="50"/>
    <tableColumn id="4" xr3:uid="{C6503E27-0AD1-4846-B8EE-BA1A385E2DCB}" name="max_price" dataDxfId="49"/>
    <tableColumn id="5" xr3:uid="{0D8AD82D-D37B-434E-ACFB-70D5FEF6A012}" name="min_price" dataDxfId="48"/>
    <tableColumn id="6" xr3:uid="{5637375D-9FF2-4A45-90DE-F267BAC0F3A8}" name="price_range" dataDxfId="47"/>
    <tableColumn id="7" xr3:uid="{BB4E4BFF-F207-4FE8-A10E-EBABD4FB303A}" name="vol_percent" dataDxfId="46" dataCellStyle="Percent"/>
    <tableColumn id="8" xr3:uid="{7A62D5E5-2F50-495C-9EF9-52A708229556}" name="Risk" dataDxfId="45">
      <calculatedColumnFormula array="1">_xlfn.IFS(Table1[[#This Row],[vol_percent]]&gt;0.2," HIGH",Table1[[#This Row],[vol_percent]]&gt;0.1," MEDIUM",Table1[[#This Row],[vol_percent]]&gt;0.05," LOW ",TRUE," VERY LOW 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D61C2ED-4CA1-48A7-B6D5-179D90E5C28E}" name="Query111" displayName="Query111" ref="A177:G182" totalsRowShown="0" headerRowDxfId="63" dataDxfId="62">
  <autoFilter ref="A177:G182" xr:uid="{C9017853-E5D3-4C40-9D96-D62A09C820EE}"/>
  <tableColumns count="7">
    <tableColumn id="1" xr3:uid="{CD1D8FE3-F558-4ED6-BB48-B11908C8C90A}" name="asset_name" dataDxfId="61"/>
    <tableColumn id="2" xr3:uid="{C3EA2554-0F35-4D3C-A1B2-591B9326E063}" name="asset_type" dataDxfId="60"/>
    <tableColumn id="3" xr3:uid="{07A8C27F-7781-4DC4-8E4F-16740CA9C3F2}" name="avg_price" dataDxfId="59"/>
    <tableColumn id="4" xr3:uid="{2E00EC90-540D-49CF-984E-160AF58A90E0}" name="max_price" dataDxfId="58"/>
    <tableColumn id="5" xr3:uid="{5D753A7F-7079-4D00-A140-752BF81C81A1}" name="min_price" dataDxfId="57"/>
    <tableColumn id="6" xr3:uid="{0A273600-96F9-4953-8D07-CC4C13890A79}" name="price_range" dataDxfId="56"/>
    <tableColumn id="7" xr3:uid="{81E5FD2F-4815-41A2-8989-6B15871FED35}" name="return_3m" dataDxfId="5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FE036D0-E6A1-401C-9254-29B1031173DC}" name="_2_CASES12" displayName="_2_CASES12" ref="A1:C6" tableType="queryTable" totalsRowShown="0">
  <autoFilter ref="A1:C6" xr:uid="{2E589E5A-800B-44F2-8ED5-F9F04F7E4543}"/>
  <tableColumns count="3">
    <tableColumn id="1" xr3:uid="{1934DCD6-1F53-4B70-8334-721347598FB5}" uniqueName="1" name="asset_name" queryTableFieldId="1" dataDxfId="44"/>
    <tableColumn id="2" xr3:uid="{1EE8CBE9-88DC-42E3-BC49-9CB9278DD8BB}" uniqueName="2" name="balanced_weight" queryTableFieldId="2" dataDxfId="43"/>
    <tableColumn id="3" xr3:uid="{98C37769-0D6A-401B-B575-FA1F657A9796}" uniqueName="3" name="aggressive_weight" queryTableFieldId="3" dataDxfId="4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A51E15C-105E-42B7-9173-D43F607064F9}" name="etf_vs_stock13" displayName="etf_vs_stock13" ref="A1:C4" tableType="queryTable" totalsRowShown="0">
  <autoFilter ref="A1:C4" xr:uid="{D1ACA14A-BD21-4470-8E76-48E0E28324C1}"/>
  <tableColumns count="3">
    <tableColumn id="1" xr3:uid="{F1A3C778-0834-4E38-B640-524EC6758C32}" uniqueName="1" name="asset_type" queryTableFieldId="1" dataDxfId="41"/>
    <tableColumn id="2" xr3:uid="{03FDB88E-E65F-4321-9D23-5E1260C4CE5B}" uniqueName="2" name="total_assets" queryTableFieldId="2" dataDxfId="40"/>
    <tableColumn id="3" xr3:uid="{DDE2128B-FC91-415D-A702-D4B4AFE4F985}" uniqueName="3" name="average_price" queryTableFieldId="3" dataDxfId="3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070E894-9AD2-43D0-9DB1-570234076243}" name="SECTOR14" displayName="SECTOR14" ref="A1:C6" tableType="queryTable" totalsRowShown="0">
  <autoFilter ref="A1:C6" xr:uid="{2C44CAEE-C236-4B70-80D5-15CCAB68E895}"/>
  <tableColumns count="3">
    <tableColumn id="1" xr3:uid="{00B060EB-CDBF-4B30-BDE2-E57D4C5CEC64}" uniqueName="1" name="asset_name" queryTableFieldId="1" dataDxfId="38"/>
    <tableColumn id="2" xr3:uid="{15442C5D-FBD5-4FB8-ABFF-391843B8221C}" uniqueName="2" name="price_range" queryTableFieldId="2" dataDxfId="37"/>
    <tableColumn id="3" xr3:uid="{6E2DBDD1-A2A9-49A2-B5B3-4AC5BCC1F1F4}" uniqueName="3" name="sector" queryTableFieldId="3" dataDxfId="3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85536B7-09FB-4CB1-86BC-17FD5CCC3670}" name="scenario_summary15" displayName="scenario_summary15" ref="A1:C3" tableType="queryTable" totalsRowShown="0">
  <autoFilter ref="A1:C3" xr:uid="{147EAFB8-F6C6-46DE-864A-47123898A78B}"/>
  <tableColumns count="3">
    <tableColumn id="1" xr3:uid="{D7FDE4E8-E948-4F05-AF17-973C5D6DF9A6}" uniqueName="1" name="portfolio_type" queryTableFieldId="1" dataDxfId="35"/>
    <tableColumn id="2" xr3:uid="{E1039E4A-55F2-4CAE-AF5C-595E9EC9ADDE}" uniqueName="2" name="expected_return_percent" queryTableFieldId="2" dataDxfId="34"/>
    <tableColumn id="3" xr3:uid="{5BCF9DC0-B040-48B2-B858-ACA65BFDB17F}" uniqueName="3" name="weighted_portfolio_beta" queryTableFieldId="3" dataDxfId="3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CF9BB3D-0A09-4F8C-98EC-013783ADEC46}" name="PORTOLIO_WACC16" displayName="PORTOLIO_WACC16" ref="A1:F11" tableType="queryTable" totalsRowShown="0">
  <autoFilter ref="A1:F11" xr:uid="{4E7A6F20-13FB-4EA3-B389-B12B95BE6F38}"/>
  <tableColumns count="6">
    <tableColumn id="1" xr3:uid="{F9F53495-6564-4A99-A498-5B447F39DD16}" uniqueName="1" name="scenario" queryTableFieldId="1" dataDxfId="32"/>
    <tableColumn id="2" xr3:uid="{858573DF-BA99-4CA0-B1A9-990546C03F21}" uniqueName="2" name="asset_name" queryTableFieldId="2" dataDxfId="31"/>
    <tableColumn id="3" xr3:uid="{9D400F93-DBDD-47E6-805B-6CF95870451A}" uniqueName="3" name="beta" queryTableFieldId="3"/>
    <tableColumn id="4" xr3:uid="{73B8F44D-4DF9-4CBB-B7FF-23D421832716}" uniqueName="4" name="expected_return" queryTableFieldId="4"/>
    <tableColumn id="5" xr3:uid="{70123BF6-4F0E-47F0-AC72-EBE60701CD3C}" uniqueName="5" name="weight_percent" queryTableFieldId="5"/>
    <tableColumn id="6" xr3:uid="{9C7D44E8-1359-4E13-806E-234F470734F9}" uniqueName="6" name="weighted_return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EAB7ED8-F605-45EE-822C-1097F40D26AE}" name="asset_data17" displayName="asset_data17" ref="A1:K6" tableType="queryTable" totalsRowShown="0">
  <autoFilter ref="A1:K6" xr:uid="{44162D63-49D8-465C-B8D5-4A0B97F38558}"/>
  <tableColumns count="11">
    <tableColumn id="1" xr3:uid="{D329B898-F199-4DA2-8876-FE3DE36B7B3A}" uniqueName="1" name="asset_id" queryTableFieldId="1"/>
    <tableColumn id="2" xr3:uid="{F36C5D8D-FE3D-4E52-AB3F-9C03DC5EBF52}" uniqueName="2" name="asset_name" queryTableFieldId="2" dataDxfId="30"/>
    <tableColumn id="3" xr3:uid="{A390747A-EFEE-44E1-84D5-49C3FD5F8165}" uniqueName="3" name="asset_type" queryTableFieldId="3" dataDxfId="29"/>
    <tableColumn id="4" xr3:uid="{B5794FE7-9C0B-499D-97C7-DEA42A96E49A}" uniqueName="4" name="sector" queryTableFieldId="4" dataDxfId="28"/>
    <tableColumn id="5" xr3:uid="{990CE44A-778F-462A-9881-738CC7E2382F}" uniqueName="5" name="avg_price" queryTableFieldId="5" dataDxfId="27"/>
    <tableColumn id="6" xr3:uid="{7E975C8B-4303-42F7-8525-31D58DF7038D}" uniqueName="6" name="max_price" queryTableFieldId="6" dataDxfId="26"/>
    <tableColumn id="7" xr3:uid="{E92A9077-B77D-4F32-877B-B5747588621D}" uniqueName="7" name="min_price" queryTableFieldId="7" dataDxfId="25"/>
    <tableColumn id="8" xr3:uid="{58AF6D21-CB18-447A-A0BD-DDA1A2823F49}" uniqueName="8" name="avg_volume" queryTableFieldId="8" dataDxfId="24"/>
    <tableColumn id="9" xr3:uid="{B62D6457-6EE2-4EA3-A9C0-C0938C41BE07}" uniqueName="9" name="total_days" queryTableFieldId="9" dataDxfId="23"/>
    <tableColumn id="10" xr3:uid="{5D125698-3D28-4360-B242-A1F19277730F}" uniqueName="10" name="invested_amt" queryTableFieldId="10" dataDxfId="22"/>
    <tableColumn id="11" xr3:uid="{B04C7758-F2F1-46EE-9713-7A830832EF60}" uniqueName="11" name="weight_percent" queryTableFieldId="11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8" Type="http://schemas.microsoft.com/office/2011/relationships/webextension" Target="webextension8.xml"/><Relationship Id="rId3" Type="http://schemas.microsoft.com/office/2011/relationships/webextension" Target="webextension3.xml"/><Relationship Id="rId7" Type="http://schemas.microsoft.com/office/2011/relationships/webextension" Target="webextension7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6" Type="http://schemas.microsoft.com/office/2011/relationships/webextension" Target="webextension6.xml"/><Relationship Id="rId11" Type="http://schemas.microsoft.com/office/2011/relationships/webextension" Target="webextension11.xml"/><Relationship Id="rId5" Type="http://schemas.microsoft.com/office/2011/relationships/webextension" Target="webextension5.xml"/><Relationship Id="rId10" Type="http://schemas.microsoft.com/office/2011/relationships/webextension" Target="webextension10.xml"/><Relationship Id="rId4" Type="http://schemas.microsoft.com/office/2011/relationships/webextension" Target="webextension4.xml"/><Relationship Id="rId9" Type="http://schemas.microsoft.com/office/2011/relationships/webextension" Target="webextension9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6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8">
    <wetp:webextensionref xmlns:r="http://schemas.openxmlformats.org/officeDocument/2006/relationships" r:id="rId4"/>
  </wetp:taskpane>
  <wetp:taskpane dockstate="right" visibility="0" width="350" row="6">
    <wetp:webextensionref xmlns:r="http://schemas.openxmlformats.org/officeDocument/2006/relationships" r:id="rId5"/>
  </wetp:taskpane>
  <wetp:taskpane dockstate="right" visibility="0" width="350" row="8">
    <wetp:webextensionref xmlns:r="http://schemas.openxmlformats.org/officeDocument/2006/relationships" r:id="rId6"/>
  </wetp:taskpane>
  <wetp:taskpane dockstate="right" visibility="0" width="350" row="9">
    <wetp:webextensionref xmlns:r="http://schemas.openxmlformats.org/officeDocument/2006/relationships" r:id="rId7"/>
  </wetp:taskpane>
  <wetp:taskpane dockstate="right" visibility="0" width="350" row="7">
    <wetp:webextensionref xmlns:r="http://schemas.openxmlformats.org/officeDocument/2006/relationships" r:id="rId8"/>
  </wetp:taskpane>
  <wetp:taskpane dockstate="right" visibility="0" width="350" row="7">
    <wetp:webextensionref xmlns:r="http://schemas.openxmlformats.org/officeDocument/2006/relationships" r:id="rId9"/>
  </wetp:taskpane>
  <wetp:taskpane dockstate="right" visibility="0" width="350" row="6">
    <wetp:webextensionref xmlns:r="http://schemas.openxmlformats.org/officeDocument/2006/relationships" r:id="rId10"/>
  </wetp:taskpane>
  <wetp:taskpane dockstate="right" visibility="0" width="350" row="6">
    <wetp:webextensionref xmlns:r="http://schemas.openxmlformats.org/officeDocument/2006/relationships" r:id="rId11"/>
  </wetp:taskpane>
</wetp:taskpanes>
</file>

<file path=xl/webextensions/webextension1.xml><?xml version="1.0" encoding="utf-8"?>
<we:webextension xmlns:we="http://schemas.microsoft.com/office/webextensions/webextension/2010/11" id="{A2A7545B-FDC4-47AE-B520-60756683454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00c59825-b254-48d3-911f-5ba0c6d4df2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A6A27E35-6F6E-4CB5-B665-E48103FB24FD}">
  <we:reference id="wa200006575" version="1.0.0.8" store="en-US" storeType="OMEX"/>
  <we:alternateReferences>
    <we:reference id="wa200006575" version="1.0.0.8" store="wa20000657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933BDA55-793C-4301-A16C-559DBFC5E010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mxs-pixF1qNngtKFiscBW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4DAB9445-705F-427E-8C42-F10DC75AAAA6}">
  <we:reference id="wa200003696" version="1.3.0.0" store="en-US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5.xml><?xml version="1.0" encoding="utf-8"?>
<we:webextension xmlns:we="http://schemas.microsoft.com/office/webextensions/webextension/2010/11" id="{0EF30EA8-E716-4935-A4F8-8114C184DD8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2262eae-0e35-4f7a-878f-84f96789df7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6.xml><?xml version="1.0" encoding="utf-8"?>
<we:webextension xmlns:we="http://schemas.microsoft.com/office/webextensions/webextension/2010/11" id="{65B310C8-1E84-4C33-9CBF-B81B76A86EEB}">
  <we:reference id="wa200005171" version="1.0.0.0" store="en-US" storeType="OMEX"/>
  <we:alternateReferences>
    <we:reference id="wa200005171" version="1.0.0.0" store="wa2000051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7.xml><?xml version="1.0" encoding="utf-8"?>
<we:webextension xmlns:we="http://schemas.microsoft.com/office/webextensions/webextension/2010/11" id="{92C3B61C-91BD-48E6-98DF-0CF9DDAE0C90}">
  <we:reference id="wa200005281" version="1.0.0.0" store="en-US" storeType="OMEX"/>
  <we:alternateReferences>
    <we:reference id="wa200005281" version="1.0.0.0" store="wa20000528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_xldudf_NUM_AI</we:customFunctionIds>
        <we:customFunctionIds>_xldudf_NUM_WRITE</we:customFunctionIds>
        <we:customFunctionIds>_xldudf_NUM_INFER</we:customFunctionIds>
      </we:customFunctionIdList>
    </a:ext>
  </we:extLst>
</we:webextension>
</file>

<file path=xl/webextensions/webextension8.xml><?xml version="1.0" encoding="utf-8"?>
<we:webextension xmlns:we="http://schemas.microsoft.com/office/webextensions/webextension/2010/11" id="{39E4F974-7323-422E-BBDE-6F5E817B1D2E}">
  <we:reference id="wa104379220" version="8.0.0.0" store="en-US" storeType="OMEX"/>
  <we:alternateReferences>
    <we:reference id="WA104379220" version="8.0.0.0" store="WA104379220" storeType="OMEX"/>
  </we:alternateReferences>
  <we:properties>
    <we:property name="lastCryptoCompare" value="1779823208455"/>
    <we:property name="lastIexCall" value="0"/>
    <we:property name="lastMutualFundsCall" value="0"/>
    <we:property name="stocks" value="{}"/>
    <we:property name="stocksChange" value="{}"/>
    <we:property name="stocksOrder" value="[]"/>
    <we:property name="stocksSources" value="{}"/>
    <we:property name="updateIntervalIndex" value="2"/>
  </we:properties>
  <we:bindings/>
  <we:snapshot xmlns:r="http://schemas.openxmlformats.org/officeDocument/2006/relationships"/>
</we:webextension>
</file>

<file path=xl/webextensions/webextension9.xml><?xml version="1.0" encoding="utf-8"?>
<we:webextension xmlns:we="http://schemas.microsoft.com/office/webextensions/webextension/2010/11" id="{E0D9504A-2E0E-4FFD-9A26-B06AEE356470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ebextensions/webextension10.xml><?xml version="1.0" encoding="utf-8"?>
<we:webextension xmlns:we="http://schemas.microsoft.com/office/webextensions/webextension/2010/11" id="{57313093-501A-4375-A870-CFB5C5FC9095}">
  <we:reference id="wa200004517" version="7.7.0.0" store="en-US" storeType="OMEX"/>
  <we:alternateReferences>
    <we:reference id="WA200004517" version="7.7.0.0" store="WA20000451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ART</we:customFunctionIds>
        <we:customFunctionIds>ARTRANGE</we:customFunctionIds>
        <we:customFunctionIds>ARTDUNE</we:customFunctionIds>
        <we:customFunctionIds>ARTINFO</we:customFunctionIds>
        <we:customFunctionIds>ARTBREAKDOWN</we:customFunctionIds>
        <we:customFunctionIds>ARTFINANCIALS</we:customFunctionIds>
      </we:customFunctionIdList>
    </a:ext>
  </we:extLst>
</we:webextension>
</file>

<file path=xl/webextensions/webextension11.xml><?xml version="1.0" encoding="utf-8"?>
<we:webextension xmlns:we="http://schemas.microsoft.com/office/webextensions/webextension/2010/11" id="{38F768C9-706B-4AC8-8D16-62D83B2B5156}">
  <we:reference id="wa200010173" version="1.1.0.0" store="en-US" storeType="OMEX"/>
  <we:alternateReferences>
    <we:reference id="wa200010173" version="1.1.0.0" store="wa20001017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85C66-5ECD-497D-8B01-72366581C0B4}">
  <sheetPr>
    <tabColor rgb="FFC9A84C"/>
  </sheetPr>
  <dimension ref="A1:T49"/>
  <sheetViews>
    <sheetView showGridLines="0" topLeftCell="B4" zoomScale="70" zoomScaleNormal="70" workbookViewId="0">
      <selection activeCell="A45" sqref="A45:P46"/>
    </sheetView>
  </sheetViews>
  <sheetFormatPr defaultRowHeight="15" x14ac:dyDescent="0.25"/>
  <cols>
    <col min="1" max="1" width="28.85546875" style="10" bestFit="1" customWidth="1"/>
    <col min="2" max="2" width="17.85546875" style="10" customWidth="1"/>
    <col min="3" max="3" width="16.42578125" style="10" customWidth="1"/>
    <col min="4" max="4" width="16.85546875" style="10" customWidth="1"/>
    <col min="5" max="5" width="16.42578125" style="10" customWidth="1"/>
    <col min="6" max="6" width="33.28515625" style="10" customWidth="1"/>
    <col min="7" max="7" width="19.28515625" style="10" customWidth="1"/>
    <col min="8" max="8" width="16.42578125" style="10" customWidth="1"/>
    <col min="9" max="9" width="17.42578125" style="10" customWidth="1"/>
    <col min="10" max="16384" width="9.140625" style="10"/>
  </cols>
  <sheetData>
    <row r="1" spans="1:20" ht="27.75" thickBot="1" x14ac:dyDescent="0.3">
      <c r="A1" s="80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125" t="s">
        <v>114</v>
      </c>
      <c r="M1" s="126"/>
      <c r="N1" s="123" t="s">
        <v>1</v>
      </c>
      <c r="O1" s="124"/>
      <c r="P1" s="21"/>
    </row>
    <row r="2" spans="1:20" ht="29.25" thickTop="1" x14ac:dyDescent="0.25">
      <c r="A2" s="127" t="s">
        <v>2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7"/>
      <c r="M2" s="129" t="s">
        <v>3</v>
      </c>
      <c r="N2" s="129"/>
      <c r="O2" s="129"/>
      <c r="P2" s="22"/>
    </row>
    <row r="4" spans="1:20" ht="21" x14ac:dyDescent="0.35">
      <c r="A4" s="11"/>
      <c r="B4" s="11"/>
      <c r="C4" s="11"/>
      <c r="D4" s="11"/>
      <c r="E4" s="12"/>
      <c r="F4" s="11"/>
      <c r="G4" s="11"/>
      <c r="H4" s="11"/>
      <c r="I4" s="11"/>
      <c r="J4" s="11"/>
      <c r="K4" s="11"/>
      <c r="L4" s="11"/>
      <c r="M4" s="11"/>
      <c r="N4" s="11"/>
    </row>
    <row r="5" spans="1:20" x14ac:dyDescent="0.25">
      <c r="A5" s="11"/>
      <c r="B5" s="16"/>
      <c r="C5" s="11"/>
      <c r="D5" s="11"/>
      <c r="E5" s="11"/>
      <c r="F5" s="11"/>
      <c r="G5" s="11"/>
      <c r="H5" s="11"/>
      <c r="I5" s="14"/>
      <c r="J5" s="11"/>
      <c r="K5" s="11"/>
      <c r="L5" s="15"/>
      <c r="M5" s="11"/>
      <c r="N5" s="11"/>
    </row>
    <row r="6" spans="1:20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20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20" ht="16.5" customHeight="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20" ht="23.25" thickBot="1" x14ac:dyDescent="0.3">
      <c r="A9" s="94" t="s">
        <v>4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</row>
    <row r="10" spans="1:20" ht="15.75" thickTop="1" x14ac:dyDescent="0.25">
      <c r="A10" s="11"/>
      <c r="B10" s="13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2" spans="1:20" x14ac:dyDescent="0.25">
      <c r="T12" s="20"/>
    </row>
    <row r="26" spans="1:16" ht="23.25" thickBot="1" x14ac:dyDescent="0.3">
      <c r="A26" s="120" t="s">
        <v>5</v>
      </c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</row>
    <row r="27" spans="1:16" ht="24" thickTop="1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16" ht="23.25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</row>
    <row r="29" spans="1:16" ht="23.25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</row>
    <row r="30" spans="1:16" ht="23.25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</row>
    <row r="31" spans="1:16" ht="15.75" thickBot="1" x14ac:dyDescent="0.3">
      <c r="A31" s="23"/>
      <c r="B31" s="23"/>
      <c r="C31" s="23"/>
      <c r="D31" s="23"/>
      <c r="E31" s="23"/>
      <c r="F31" s="23"/>
      <c r="G31" s="23"/>
      <c r="H31" s="23"/>
      <c r="I31" s="24"/>
      <c r="J31" s="24"/>
      <c r="K31" s="24"/>
      <c r="L31" s="24"/>
      <c r="M31" s="24"/>
      <c r="N31" s="24"/>
      <c r="O31" s="24"/>
      <c r="P31" s="24"/>
    </row>
    <row r="32" spans="1:16" x14ac:dyDescent="0.25">
      <c r="A32" s="23"/>
      <c r="B32" s="130" t="s">
        <v>6</v>
      </c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2"/>
      <c r="O32" s="23"/>
      <c r="P32" s="23"/>
    </row>
    <row r="33" spans="1:16" x14ac:dyDescent="0.25">
      <c r="A33" s="23"/>
      <c r="B33" s="133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5"/>
      <c r="O33" s="23"/>
      <c r="P33" s="23"/>
    </row>
    <row r="34" spans="1:16" ht="15.75" thickBot="1" x14ac:dyDescent="0.3">
      <c r="A34" s="23"/>
      <c r="B34" s="136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8"/>
      <c r="O34" s="23"/>
      <c r="P34" s="23"/>
    </row>
    <row r="36" spans="1:16" ht="23.25" thickBot="1" x14ac:dyDescent="0.3">
      <c r="A36" s="120" t="s">
        <v>7</v>
      </c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</row>
    <row r="37" spans="1:16" ht="21" thickTop="1" x14ac:dyDescent="0.25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</row>
    <row r="38" spans="1:16" s="28" customFormat="1" ht="15.75" x14ac:dyDescent="0.25">
      <c r="A38" s="26" t="s">
        <v>8</v>
      </c>
      <c r="B38" s="26" t="s">
        <v>9</v>
      </c>
      <c r="C38" s="26" t="s">
        <v>10</v>
      </c>
      <c r="D38" s="26" t="s">
        <v>11</v>
      </c>
      <c r="E38" s="26" t="s">
        <v>12</v>
      </c>
      <c r="F38" s="26" t="s">
        <v>39</v>
      </c>
      <c r="G38" s="27" t="s">
        <v>13</v>
      </c>
      <c r="H38" s="26" t="s">
        <v>14</v>
      </c>
    </row>
    <row r="39" spans="1:16" s="25" customFormat="1" ht="15.75" x14ac:dyDescent="0.25">
      <c r="A39" s="65" t="s">
        <v>15</v>
      </c>
      <c r="B39" s="29" t="s">
        <v>16</v>
      </c>
      <c r="C39" s="30">
        <v>807.02</v>
      </c>
      <c r="D39" s="30">
        <v>923.6</v>
      </c>
      <c r="E39" s="30">
        <v>731.55</v>
      </c>
      <c r="F39" s="30">
        <v>192.05</v>
      </c>
      <c r="G39" s="31">
        <v>0.23797427573046501</v>
      </c>
      <c r="H39" s="66" t="str" cm="1">
        <f t="array" ref="H39">_xlfn.IFS(Table1[[#This Row],[vol_percent]]&gt;0.2," HIGH",Table1[[#This Row],[vol_percent]]&gt;0.1," MEDIUM",Table1[[#This Row],[vol_percent]]&gt;0.05," LOW ",TRUE," VERY LOW ")</f>
        <v xml:space="preserve"> HIGH</v>
      </c>
      <c r="I39" s="18"/>
      <c r="J39" s="18"/>
      <c r="K39" s="18"/>
      <c r="L39" s="18"/>
      <c r="M39" s="18"/>
      <c r="N39" s="18"/>
      <c r="O39" s="18"/>
    </row>
    <row r="40" spans="1:16" s="18" customFormat="1" ht="15.75" x14ac:dyDescent="0.25">
      <c r="A40" s="65" t="s">
        <v>17</v>
      </c>
      <c r="B40" s="29" t="s">
        <v>16</v>
      </c>
      <c r="C40" s="30">
        <v>1380.4</v>
      </c>
      <c r="D40" s="30">
        <v>1463.6</v>
      </c>
      <c r="E40" s="30">
        <v>1304.5999999999999</v>
      </c>
      <c r="F40" s="30">
        <v>159</v>
      </c>
      <c r="G40" s="31">
        <v>0.115184004636337</v>
      </c>
      <c r="H40" s="67" t="str" cm="1">
        <f t="array" ref="H40">_xlfn.IFS(Table1[[#This Row],[vol_percent]]&gt;0.2," HIGH",Table1[[#This Row],[vol_percent]]&gt;0.1," MEDIUM",Table1[[#This Row],[vol_percent]]&gt;0.05," LOW ",TRUE," VERY LOW ")</f>
        <v xml:space="preserve"> MEDIUM</v>
      </c>
    </row>
    <row r="41" spans="1:16" s="18" customFormat="1" ht="15.75" x14ac:dyDescent="0.25">
      <c r="A41" s="65" t="s">
        <v>18</v>
      </c>
      <c r="B41" s="29" t="s">
        <v>19</v>
      </c>
      <c r="C41" s="30">
        <v>271.22000000000003</v>
      </c>
      <c r="D41" s="30">
        <v>290.45</v>
      </c>
      <c r="E41" s="30">
        <v>253.44</v>
      </c>
      <c r="F41" s="30">
        <v>37.01</v>
      </c>
      <c r="G41" s="31">
        <v>0.13645748838581201</v>
      </c>
      <c r="H41" s="67" t="str" cm="1">
        <f t="array" ref="H41">_xlfn.IFS(Table1[[#This Row],[vol_percent]]&gt;0.2," HIGH",Table1[[#This Row],[vol_percent]]&gt;0.1," MEDIUM",Table1[[#This Row],[vol_percent]]&gt;0.05," LOW ",TRUE," VERY LOW ")</f>
        <v xml:space="preserve"> MEDIUM</v>
      </c>
    </row>
    <row r="42" spans="1:16" s="18" customFormat="1" ht="15.75" x14ac:dyDescent="0.25">
      <c r="A42" s="65" t="s">
        <v>20</v>
      </c>
      <c r="B42" s="29" t="s">
        <v>21</v>
      </c>
      <c r="C42" s="30">
        <v>125.95</v>
      </c>
      <c r="D42" s="30">
        <v>138.32</v>
      </c>
      <c r="E42" s="30">
        <v>110.72</v>
      </c>
      <c r="F42" s="30">
        <v>27.6</v>
      </c>
      <c r="G42" s="31">
        <v>0.21913457721318</v>
      </c>
      <c r="H42" s="66" t="str" cm="1">
        <f t="array" ref="H42">_xlfn.IFS(Table1[[#This Row],[vol_percent]]&gt;0.2," HIGH",Table1[[#This Row],[vol_percent]]&gt;0.1," MEDIUM",Table1[[#This Row],[vol_percent]]&gt;0.05," LOW ",TRUE," VERY LOW ")</f>
        <v xml:space="preserve"> HIGH</v>
      </c>
    </row>
    <row r="43" spans="1:16" s="18" customFormat="1" ht="15.75" x14ac:dyDescent="0.25">
      <c r="A43" s="65" t="s">
        <v>22</v>
      </c>
      <c r="B43" s="29" t="s">
        <v>21</v>
      </c>
      <c r="C43" s="30">
        <v>63.65</v>
      </c>
      <c r="D43" s="30">
        <v>64.19</v>
      </c>
      <c r="E43" s="30">
        <v>62.88</v>
      </c>
      <c r="F43" s="30">
        <v>1.31</v>
      </c>
      <c r="G43" s="31">
        <v>2.0581304006284398E-2</v>
      </c>
      <c r="H43" s="66" t="str" cm="1">
        <f t="array" ref="H43">_xlfn.IFS(Table1[[#This Row],[vol_percent]]&gt;0.2," HIGH",Table1[[#This Row],[vol_percent]]&gt;0.1," MEDIUM",Table1[[#This Row],[vol_percent]]&gt;0.05," LOW ",TRUE," VERY LOW ")</f>
        <v xml:space="preserve"> VERY LOW </v>
      </c>
    </row>
    <row r="44" spans="1:16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 spans="1:16" x14ac:dyDescent="0.25">
      <c r="A45" s="121" t="s">
        <v>109</v>
      </c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</row>
    <row r="46" spans="1:16" x14ac:dyDescent="0.25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</row>
    <row r="47" spans="1:16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</row>
    <row r="48" spans="1:16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</row>
    <row r="49" spans="1:16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</row>
  </sheetData>
  <sheetProtection formatCells="0" formatColumns="0" formatRows="0" insertColumns="0" insertRows="0" insertHyperlinks="0" deleteColumns="0" deleteRows="0" sort="0" autoFilter="0" pivotTables="0"/>
  <mergeCells count="10">
    <mergeCell ref="A36:P36"/>
    <mergeCell ref="A9:P9"/>
    <mergeCell ref="A26:P26"/>
    <mergeCell ref="A45:P46"/>
    <mergeCell ref="N1:O1"/>
    <mergeCell ref="A1:K1"/>
    <mergeCell ref="L1:M1"/>
    <mergeCell ref="A2:K2"/>
    <mergeCell ref="M2:O2"/>
    <mergeCell ref="B32:N34"/>
  </mergeCells>
  <conditionalFormatting sqref="H39:H43">
    <cfRule type="containsText" dxfId="20" priority="1" operator="containsText" text="VERY LOW">
      <formula>NOT(ISERROR(SEARCH("VERY LOW",H39)))</formula>
    </cfRule>
    <cfRule type="containsText" dxfId="19" priority="2" operator="containsText" text="MEDIUM">
      <formula>NOT(ISERROR(SEARCH("MEDIUM",H39)))</formula>
    </cfRule>
    <cfRule type="containsText" dxfId="18" priority="3" operator="containsText" text="HIGH">
      <formula>NOT(ISERROR(SEARCH("HIGH",H39)))</formula>
    </cfRule>
  </conditionalFormatting>
  <conditionalFormatting sqref="I5">
    <cfRule type="containsText" dxfId="17" priority="4" operator="containsText" text="HIGH">
      <formula>NOT(ISERROR(SEARCH("HIGH",I5)))</formula>
    </cfRule>
    <cfRule type="containsText" dxfId="16" priority="5" operator="containsText" text="Moderate ">
      <formula>NOT(ISERROR(SEARCH("Moderate ",I5)))</formula>
    </cfRule>
    <cfRule type="containsText" dxfId="15" priority="6" operator="containsText" text="Balanced">
      <formula>NOT(ISERROR(SEARCH("Balanced",I5)))</formula>
    </cfRule>
  </conditionalFormatting>
  <dataValidations count="1">
    <dataValidation type="list" showInputMessage="1" showErrorMessage="1" sqref="N1" xr:uid="{F4CC1F36-6FA4-4688-B52E-477DC510CF5D}">
      <formula1>"Balanced,Aggressive"</formula1>
    </dataValidation>
  </dataValidations>
  <hyperlinks>
    <hyperlink ref="M2:O2" location="'AI Signal Engine'!A1" display="→ AI Signal Engine" xr:uid="{37B5B170-2A47-476E-85F6-850DFAC14699}"/>
  </hyperlink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455A-E6D8-4F69-834E-0F27BBA8FF12}">
  <sheetPr transitionEvaluation="1" transitionEntry="1">
    <tabColor theme="9" tint="-0.249977111117893"/>
  </sheetPr>
  <dimension ref="A1:L206"/>
  <sheetViews>
    <sheetView showGridLines="0" tabSelected="1" zoomScale="70" zoomScaleNormal="70" workbookViewId="0">
      <selection activeCell="I20" sqref="I20"/>
    </sheetView>
  </sheetViews>
  <sheetFormatPr defaultRowHeight="15" x14ac:dyDescent="0.25"/>
  <cols>
    <col min="1" max="1" width="40" customWidth="1"/>
    <col min="2" max="2" width="18.5703125" style="2" customWidth="1"/>
    <col min="3" max="3" width="22" style="37" customWidth="1"/>
    <col min="4" max="4" width="11.140625" style="33" customWidth="1"/>
    <col min="5" max="5" width="20.85546875" customWidth="1"/>
    <col min="6" max="6" width="27.85546875" style="33" customWidth="1"/>
    <col min="7" max="7" width="23.28515625" customWidth="1"/>
    <col min="8" max="8" width="22.85546875" style="37" customWidth="1"/>
    <col min="9" max="9" width="17.5703125" customWidth="1"/>
    <col min="10" max="10" width="10.42578125" customWidth="1"/>
    <col min="11" max="11" width="19.5703125" customWidth="1"/>
    <col min="12" max="14" width="10.42578125" customWidth="1"/>
  </cols>
  <sheetData>
    <row r="1" spans="1:11" ht="27" x14ac:dyDescent="0.25">
      <c r="A1" s="80" t="s">
        <v>23</v>
      </c>
      <c r="B1" s="81"/>
      <c r="C1" s="81"/>
      <c r="D1" s="81"/>
      <c r="E1" s="81"/>
      <c r="F1" s="81"/>
      <c r="G1" s="81"/>
      <c r="H1" s="81"/>
      <c r="I1" s="81"/>
      <c r="J1" s="76" t="s">
        <v>118</v>
      </c>
      <c r="K1" s="77"/>
    </row>
    <row r="2" spans="1:11" ht="19.5" thickBot="1" x14ac:dyDescent="0.3">
      <c r="A2" s="82" t="s">
        <v>116</v>
      </c>
      <c r="B2" s="83"/>
      <c r="C2" s="83"/>
      <c r="D2" s="83"/>
      <c r="E2" s="83"/>
      <c r="F2" s="83"/>
      <c r="G2" s="83"/>
      <c r="H2" s="83"/>
      <c r="I2" s="83"/>
      <c r="J2" s="78" t="s">
        <v>24</v>
      </c>
      <c r="K2" s="79"/>
    </row>
    <row r="3" spans="1:11" ht="15" customHeight="1" x14ac:dyDescent="0.25">
      <c r="A3" s="90" t="s">
        <v>25</v>
      </c>
      <c r="B3" s="92" t="s">
        <v>26</v>
      </c>
      <c r="C3" s="97" t="s">
        <v>27</v>
      </c>
      <c r="D3" s="95" t="s">
        <v>26</v>
      </c>
      <c r="E3" s="90" t="s">
        <v>28</v>
      </c>
      <c r="F3" s="88" t="s">
        <v>26</v>
      </c>
      <c r="G3" s="84" t="s">
        <v>117</v>
      </c>
      <c r="H3" s="86" t="s">
        <v>26</v>
      </c>
      <c r="I3" s="100" t="s">
        <v>29</v>
      </c>
      <c r="J3" s="101"/>
    </row>
    <row r="4" spans="1:11" ht="15.75" customHeight="1" thickBot="1" x14ac:dyDescent="0.3">
      <c r="A4" s="91"/>
      <c r="B4" s="93"/>
      <c r="C4" s="98"/>
      <c r="D4" s="96"/>
      <c r="E4" s="91"/>
      <c r="F4" s="89"/>
      <c r="G4" s="85"/>
      <c r="H4" s="87"/>
      <c r="I4" s="100"/>
      <c r="J4" s="101"/>
    </row>
    <row r="5" spans="1:11" ht="15.75" customHeight="1" thickBot="1" x14ac:dyDescent="0.3">
      <c r="C5" s="99"/>
      <c r="G5" s="37"/>
      <c r="H5"/>
    </row>
    <row r="6" spans="1:11" ht="23.25" thickBot="1" x14ac:dyDescent="0.3">
      <c r="A6" s="94" t="s">
        <v>30</v>
      </c>
      <c r="B6" s="94"/>
      <c r="C6" s="94"/>
      <c r="D6" s="94"/>
      <c r="E6" s="94"/>
      <c r="F6" s="94"/>
      <c r="G6" s="94"/>
      <c r="H6" s="94"/>
      <c r="I6" s="94"/>
      <c r="J6" s="94"/>
      <c r="K6" s="94"/>
    </row>
    <row r="7" spans="1:11" ht="15.75" thickTop="1" x14ac:dyDescent="0.25"/>
    <row r="9" spans="1:11" x14ac:dyDescent="0.25">
      <c r="B9" s="56"/>
    </row>
    <row r="10" spans="1:11" x14ac:dyDescent="0.25">
      <c r="B10" s="57"/>
    </row>
    <row r="17" spans="1:12" ht="23.25" thickBot="1" x14ac:dyDescent="0.3">
      <c r="A17" s="111" t="s">
        <v>119</v>
      </c>
      <c r="B17" s="94"/>
      <c r="C17" s="94"/>
      <c r="D17" s="94"/>
      <c r="E17" s="94"/>
      <c r="F17" s="94"/>
      <c r="G17" s="94"/>
      <c r="H17" s="94"/>
      <c r="I17" s="94"/>
      <c r="J17" s="94"/>
      <c r="K17" s="94"/>
    </row>
    <row r="18" spans="1:12" ht="15.75" thickTop="1" x14ac:dyDescent="0.25"/>
    <row r="19" spans="1:12" ht="19.5" thickBot="1" x14ac:dyDescent="0.35">
      <c r="A19" s="34" t="s">
        <v>31</v>
      </c>
      <c r="B19" s="58" t="s">
        <v>32</v>
      </c>
      <c r="C19" s="36" t="s">
        <v>33</v>
      </c>
      <c r="D19" s="35" t="s">
        <v>34</v>
      </c>
      <c r="E19" s="34" t="s">
        <v>35</v>
      </c>
      <c r="F19" s="36" t="s">
        <v>36</v>
      </c>
      <c r="G19" s="34" t="s">
        <v>37</v>
      </c>
      <c r="H19" s="36" t="s">
        <v>38</v>
      </c>
      <c r="I19" s="34"/>
      <c r="J19" s="34"/>
      <c r="K19" s="34"/>
    </row>
    <row r="20" spans="1:12" ht="31.5" customHeight="1" thickBot="1" x14ac:dyDescent="0.3">
      <c r="A20" s="38" t="str">
        <f>INDEX(Query111[asset_name],1)</f>
        <v>Nippon India Nifty BeES ETF</v>
      </c>
      <c r="B20" s="59" t="str">
        <f>INDEX(Query111[asset_type],1)</f>
        <v>Equity ETF</v>
      </c>
      <c r="C20" s="39" t="str">
        <f>TEXT(INDEX(Query111[#All],2,7),"+0.0%;-0.0%")</f>
        <v>+14.6%</v>
      </c>
      <c r="D20" s="39" t="str">
        <f>IF(INDEX(Query111[return_3m],1)&gt;0,"↑","↓")</f>
        <v>↑</v>
      </c>
      <c r="E20" s="39" t="s">
        <v>86</v>
      </c>
      <c r="F20" s="72" t="s">
        <v>87</v>
      </c>
      <c r="G20" s="39" t="s">
        <v>88</v>
      </c>
      <c r="H20" s="52" t="s">
        <v>89</v>
      </c>
    </row>
    <row r="21" spans="1:12" ht="32.25" customHeight="1" x14ac:dyDescent="0.25">
      <c r="A21" s="38" t="str">
        <f>INDEX(Query111[asset_name],2)</f>
        <v>Nippon India Gold BeES ETF</v>
      </c>
      <c r="B21" s="59" t="str">
        <f>INDEX(Query111[asset_type],2)</f>
        <v>Commodity ETF</v>
      </c>
      <c r="C21" s="39" t="str">
        <f>TEXT(INDEX(Query111[#All],3,7),"+0.0%;-0.0%")</f>
        <v>+24.9%</v>
      </c>
      <c r="D21" s="39" t="str">
        <f>IF(INDEX(Query111[return_3m],2)&gt;0,"↑","↓")</f>
        <v>↑</v>
      </c>
      <c r="E21" s="39" t="s">
        <v>86</v>
      </c>
      <c r="F21" s="73" t="s">
        <v>90</v>
      </c>
      <c r="G21" s="39" t="s">
        <v>88</v>
      </c>
      <c r="H21" s="52" t="s">
        <v>89</v>
      </c>
    </row>
    <row r="22" spans="1:12" ht="30" customHeight="1" x14ac:dyDescent="0.25">
      <c r="A22" s="38" t="str">
        <f>INDEX(Query111[asset_name],3)</f>
        <v>Motilal Oswal Silver ETF</v>
      </c>
      <c r="B22" s="59" t="str">
        <f>INDEX(Query111[asset_type],3)</f>
        <v>Commodity ETF</v>
      </c>
      <c r="C22" s="39" t="str">
        <f>TEXT(INDEX(Query111[#All],4,7),"+0.0%;-0.0%")</f>
        <v>+2.1%</v>
      </c>
      <c r="D22" s="39" t="str">
        <f>IF(INDEX(Query111[return_3m],3)&gt;0,"↑","↓")</f>
        <v>↑</v>
      </c>
      <c r="E22" s="39" t="s">
        <v>91</v>
      </c>
      <c r="F22" s="74" t="s">
        <v>92</v>
      </c>
      <c r="G22" s="39" t="s">
        <v>93</v>
      </c>
      <c r="H22" s="52" t="s">
        <v>97</v>
      </c>
    </row>
    <row r="23" spans="1:12" ht="33.75" customHeight="1" x14ac:dyDescent="0.25">
      <c r="A23" s="38" t="str">
        <f>INDEX(Query111[asset_name],4)</f>
        <v>HDFC Bank Ltd</v>
      </c>
      <c r="B23" s="59" t="str">
        <f>INDEX(Query111[asset_type],4)</f>
        <v>Stock</v>
      </c>
      <c r="C23" s="39" t="str">
        <f>TEXT(INDEX(Query111[#All],5,7),"+0.0%;-0.0%")</f>
        <v>-26.3%</v>
      </c>
      <c r="D23" s="39" t="str">
        <f>IF(INDEX(Query111[return_3m],4)&gt;0,"↑","↓")</f>
        <v>↓</v>
      </c>
      <c r="E23" s="39" t="s">
        <v>94</v>
      </c>
      <c r="F23" s="75" t="s">
        <v>99</v>
      </c>
      <c r="G23" s="39" t="s">
        <v>96</v>
      </c>
      <c r="H23" s="52" t="s">
        <v>97</v>
      </c>
    </row>
    <row r="24" spans="1:12" ht="30" customHeight="1" x14ac:dyDescent="0.25">
      <c r="A24" s="38" t="str">
        <f>INDEX(Query111[asset_name],5)</f>
        <v>Reliance Industries Ltd</v>
      </c>
      <c r="B24" s="59" t="str">
        <f>INDEX(Query111[asset_type],5)</f>
        <v>Stock</v>
      </c>
      <c r="C24" s="39" t="str">
        <f>TEXT(INDEX(Query111[#All],6,7),"+0.0%;-0.0%")</f>
        <v>-12.2%</v>
      </c>
      <c r="D24" s="39" t="str">
        <f>IF(INDEX(Query111[return_3m],5)&gt;0,"↑","↓")</f>
        <v>↓</v>
      </c>
      <c r="E24" s="39" t="s">
        <v>100</v>
      </c>
      <c r="F24" s="75" t="s">
        <v>95</v>
      </c>
      <c r="G24" s="39" t="s">
        <v>93</v>
      </c>
      <c r="H24" s="52" t="s">
        <v>97</v>
      </c>
    </row>
    <row r="25" spans="1:12" ht="24.75" customHeight="1" x14ac:dyDescent="0.25">
      <c r="A25" s="38"/>
      <c r="B25" s="59"/>
      <c r="C25" s="39"/>
      <c r="D25" s="39"/>
      <c r="E25" s="39"/>
      <c r="F25" s="55"/>
      <c r="G25" s="39"/>
      <c r="H25" s="52"/>
    </row>
    <row r="26" spans="1:12" ht="23.25" thickBot="1" x14ac:dyDescent="0.3">
      <c r="A26" s="94" t="s">
        <v>98</v>
      </c>
      <c r="B26" s="94"/>
      <c r="C26" s="94"/>
      <c r="D26" s="94"/>
      <c r="E26" s="94"/>
      <c r="F26" s="94"/>
      <c r="G26" s="94"/>
      <c r="H26" s="94"/>
      <c r="I26" s="94"/>
      <c r="J26" s="94"/>
      <c r="K26" s="94"/>
    </row>
    <row r="27" spans="1:12" ht="15.75" thickTop="1" x14ac:dyDescent="0.25"/>
    <row r="28" spans="1:12" ht="19.5" customHeight="1" x14ac:dyDescent="0.25">
      <c r="A28" s="109" t="s">
        <v>103</v>
      </c>
      <c r="B28" s="104"/>
      <c r="C28" s="104"/>
      <c r="D28" s="104"/>
      <c r="E28" s="104"/>
      <c r="F28" s="110"/>
      <c r="G28" s="107" t="s">
        <v>104</v>
      </c>
      <c r="H28" s="108"/>
      <c r="I28" s="108"/>
      <c r="J28" s="108"/>
      <c r="K28" s="108"/>
      <c r="L28" s="62"/>
    </row>
    <row r="29" spans="1:12" ht="18.75" customHeight="1" x14ac:dyDescent="0.25">
      <c r="A29" s="109"/>
      <c r="B29" s="104"/>
      <c r="C29" s="104"/>
      <c r="D29" s="104"/>
      <c r="E29" s="104"/>
      <c r="F29" s="110"/>
      <c r="G29" s="107"/>
      <c r="H29" s="108"/>
      <c r="I29" s="108"/>
      <c r="J29" s="108"/>
      <c r="K29" s="108"/>
      <c r="L29" s="62"/>
    </row>
    <row r="30" spans="1:12" ht="18.75" customHeight="1" x14ac:dyDescent="0.25">
      <c r="A30" s="109"/>
      <c r="B30" s="104"/>
      <c r="C30" s="104"/>
      <c r="D30" s="104"/>
      <c r="E30" s="104"/>
      <c r="F30" s="110"/>
      <c r="G30" s="107"/>
      <c r="H30" s="108"/>
      <c r="I30" s="108"/>
      <c r="J30" s="108"/>
      <c r="K30" s="108"/>
      <c r="L30" s="62"/>
    </row>
    <row r="31" spans="1:12" ht="18.75" customHeight="1" x14ac:dyDescent="0.25">
      <c r="A31" s="109"/>
      <c r="B31" s="104"/>
      <c r="C31" s="104"/>
      <c r="D31" s="104"/>
      <c r="E31" s="104"/>
      <c r="F31" s="110"/>
      <c r="G31" s="107"/>
      <c r="H31" s="108"/>
      <c r="I31" s="108"/>
      <c r="J31" s="108"/>
      <c r="K31" s="108"/>
      <c r="L31" s="62"/>
    </row>
    <row r="32" spans="1:12" ht="18.75" customHeight="1" x14ac:dyDescent="0.25">
      <c r="A32" s="109"/>
      <c r="B32" s="104"/>
      <c r="C32" s="104"/>
      <c r="D32" s="104"/>
      <c r="E32" s="104"/>
      <c r="F32" s="110"/>
      <c r="G32" s="107"/>
      <c r="H32" s="108"/>
      <c r="I32" s="108"/>
      <c r="J32" s="108"/>
      <c r="K32" s="108"/>
      <c r="L32" s="62"/>
    </row>
    <row r="33" spans="1:12" ht="18.75" customHeight="1" x14ac:dyDescent="0.25">
      <c r="A33" s="109"/>
      <c r="B33" s="104"/>
      <c r="C33" s="104"/>
      <c r="D33" s="104"/>
      <c r="E33" s="104"/>
      <c r="F33" s="110"/>
      <c r="G33" s="107"/>
      <c r="H33" s="108"/>
      <c r="I33" s="108"/>
      <c r="J33" s="108"/>
      <c r="K33" s="108"/>
      <c r="L33" s="62"/>
    </row>
    <row r="34" spans="1:12" ht="18.75" customHeight="1" x14ac:dyDescent="0.25">
      <c r="A34" s="63"/>
      <c r="B34" s="63"/>
      <c r="C34" s="63"/>
      <c r="D34" s="63"/>
      <c r="E34" s="63"/>
      <c r="F34" s="63"/>
      <c r="G34" s="62"/>
      <c r="H34" s="62"/>
      <c r="I34" s="62"/>
      <c r="J34" s="62"/>
      <c r="K34" s="62"/>
      <c r="L34" s="62"/>
    </row>
    <row r="35" spans="1:12" ht="18.75" customHeight="1" x14ac:dyDescent="0.25">
      <c r="A35" s="63"/>
      <c r="B35" s="63"/>
      <c r="C35" s="63"/>
      <c r="D35" s="63"/>
      <c r="E35" s="63"/>
      <c r="F35" s="63"/>
      <c r="G35" s="62"/>
      <c r="H35" s="62"/>
      <c r="I35" s="62"/>
      <c r="J35" s="62"/>
      <c r="K35" s="62"/>
      <c r="L35" s="62"/>
    </row>
    <row r="36" spans="1:12" ht="15" customHeight="1" x14ac:dyDescent="0.25">
      <c r="A36" s="105" t="s">
        <v>102</v>
      </c>
      <c r="B36" s="106"/>
      <c r="C36" s="106"/>
      <c r="D36" s="106"/>
      <c r="E36" s="106"/>
      <c r="F36" s="106"/>
      <c r="G36" s="103" t="s">
        <v>105</v>
      </c>
      <c r="H36" s="104"/>
      <c r="I36" s="104"/>
      <c r="J36" s="104"/>
      <c r="K36" s="104"/>
      <c r="L36" s="104"/>
    </row>
    <row r="37" spans="1:12" ht="15" customHeight="1" x14ac:dyDescent="0.25">
      <c r="A37" s="105"/>
      <c r="B37" s="106"/>
      <c r="C37" s="106"/>
      <c r="D37" s="106"/>
      <c r="E37" s="106"/>
      <c r="F37" s="106"/>
      <c r="G37" s="103"/>
      <c r="H37" s="104"/>
      <c r="I37" s="104"/>
      <c r="J37" s="104"/>
      <c r="K37" s="104"/>
      <c r="L37" s="104"/>
    </row>
    <row r="38" spans="1:12" ht="15" customHeight="1" x14ac:dyDescent="0.25">
      <c r="A38" s="105"/>
      <c r="B38" s="106"/>
      <c r="C38" s="106"/>
      <c r="D38" s="106"/>
      <c r="E38" s="106"/>
      <c r="F38" s="106"/>
      <c r="G38" s="103"/>
      <c r="H38" s="104"/>
      <c r="I38" s="104"/>
      <c r="J38" s="104"/>
      <c r="K38" s="104"/>
      <c r="L38" s="104"/>
    </row>
    <row r="39" spans="1:12" ht="15" customHeight="1" x14ac:dyDescent="0.25">
      <c r="A39" s="105"/>
      <c r="B39" s="106"/>
      <c r="C39" s="106"/>
      <c r="D39" s="106"/>
      <c r="E39" s="106"/>
      <c r="F39" s="106"/>
      <c r="G39" s="103"/>
      <c r="H39" s="104"/>
      <c r="I39" s="104"/>
      <c r="J39" s="104"/>
      <c r="K39" s="104"/>
      <c r="L39" s="104"/>
    </row>
    <row r="40" spans="1:12" ht="15" customHeight="1" x14ac:dyDescent="0.25">
      <c r="A40" s="105"/>
      <c r="B40" s="106"/>
      <c r="C40" s="106"/>
      <c r="D40" s="106"/>
      <c r="E40" s="106"/>
      <c r="F40" s="106"/>
      <c r="G40" s="103"/>
      <c r="H40" s="104"/>
      <c r="I40" s="104"/>
      <c r="J40" s="104"/>
      <c r="K40" s="104"/>
      <c r="L40" s="104"/>
    </row>
    <row r="41" spans="1:12" ht="15" customHeight="1" x14ac:dyDescent="0.25">
      <c r="A41" s="105"/>
      <c r="B41" s="106"/>
      <c r="C41" s="106"/>
      <c r="D41" s="106"/>
      <c r="E41" s="106"/>
      <c r="F41" s="106"/>
      <c r="G41" s="103"/>
      <c r="H41" s="104"/>
      <c r="I41" s="104"/>
      <c r="J41" s="104"/>
      <c r="K41" s="104"/>
      <c r="L41" s="104"/>
    </row>
    <row r="42" spans="1:12" ht="15" customHeight="1" x14ac:dyDescent="0.25">
      <c r="A42" s="105"/>
      <c r="B42" s="106"/>
      <c r="C42" s="106"/>
      <c r="D42" s="106"/>
      <c r="E42" s="106"/>
      <c r="F42" s="106"/>
      <c r="G42" s="103"/>
      <c r="H42" s="104"/>
      <c r="I42" s="104"/>
      <c r="J42" s="104"/>
      <c r="K42" s="104"/>
      <c r="L42" s="104"/>
    </row>
    <row r="43" spans="1:12" ht="15" customHeight="1" x14ac:dyDescent="0.25">
      <c r="A43" s="105"/>
      <c r="B43" s="106"/>
      <c r="C43" s="106"/>
      <c r="D43" s="106"/>
      <c r="E43" s="106"/>
      <c r="F43" s="106"/>
      <c r="G43" s="103"/>
      <c r="H43" s="104"/>
      <c r="I43" s="104"/>
      <c r="J43" s="104"/>
      <c r="K43" s="104"/>
      <c r="L43" s="104"/>
    </row>
    <row r="44" spans="1:12" ht="27" customHeight="1" x14ac:dyDescent="0.25">
      <c r="A44" s="105"/>
      <c r="B44" s="106"/>
      <c r="C44" s="106"/>
      <c r="D44" s="106"/>
      <c r="E44" s="106"/>
      <c r="F44" s="106"/>
      <c r="G44" s="103"/>
      <c r="H44" s="104"/>
      <c r="I44" s="104"/>
      <c r="J44" s="104"/>
      <c r="K44" s="104"/>
      <c r="L44" s="104"/>
    </row>
    <row r="45" spans="1:12" ht="15" customHeight="1" x14ac:dyDescent="0.25">
      <c r="A45" s="62"/>
      <c r="B45" s="62"/>
      <c r="C45" s="62"/>
      <c r="D45" s="62"/>
      <c r="E45" s="62"/>
      <c r="F45" s="62"/>
      <c r="G45" s="103"/>
      <c r="H45" s="104"/>
      <c r="I45" s="104"/>
      <c r="J45" s="104"/>
      <c r="K45" s="104"/>
      <c r="L45" s="104"/>
    </row>
    <row r="46" spans="1:12" x14ac:dyDescent="0.25">
      <c r="C46"/>
      <c r="D46"/>
      <c r="E46" s="46"/>
      <c r="F46" s="46"/>
      <c r="G46" s="46"/>
      <c r="H46"/>
    </row>
    <row r="47" spans="1:12" ht="23.25" thickBot="1" x14ac:dyDescent="0.3">
      <c r="A47" s="111" t="s">
        <v>101</v>
      </c>
      <c r="B47" s="111"/>
      <c r="C47" s="111"/>
      <c r="D47" s="111"/>
      <c r="E47" s="111"/>
      <c r="F47" s="111"/>
      <c r="G47" s="111"/>
      <c r="H47" s="111"/>
      <c r="I47" s="111"/>
      <c r="J47" s="111"/>
      <c r="K47" s="111"/>
    </row>
    <row r="48" spans="1:12" ht="15.75" customHeight="1" thickTop="1" x14ac:dyDescent="0.25">
      <c r="A48" s="112" t="s">
        <v>106</v>
      </c>
      <c r="B48" s="113"/>
      <c r="C48" s="113"/>
      <c r="D48" s="113"/>
      <c r="E48" s="113"/>
      <c r="F48" s="113"/>
      <c r="G48" s="113"/>
      <c r="H48" s="113"/>
      <c r="I48" s="113"/>
      <c r="J48" s="113"/>
      <c r="K48" s="113"/>
    </row>
    <row r="49" spans="1:11" ht="15.75" customHeight="1" x14ac:dyDescent="0.25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</row>
    <row r="50" spans="1:11" ht="15.75" customHeight="1" x14ac:dyDescent="0.25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</row>
    <row r="51" spans="1:11" ht="15.75" customHeight="1" x14ac:dyDescent="0.25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</row>
    <row r="52" spans="1:11" ht="15.75" customHeight="1" x14ac:dyDescent="0.25">
      <c r="A52" s="114"/>
      <c r="B52" s="114"/>
      <c r="C52" s="114"/>
      <c r="D52" s="114"/>
      <c r="E52" s="114"/>
      <c r="F52" s="114"/>
      <c r="G52" s="114"/>
      <c r="H52" s="114"/>
      <c r="I52" s="114"/>
      <c r="J52" s="114"/>
      <c r="K52" s="114"/>
    </row>
    <row r="53" spans="1:11" ht="15.75" customHeight="1" x14ac:dyDescent="0.25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</row>
    <row r="54" spans="1:11" ht="15.75" customHeight="1" x14ac:dyDescent="0.25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</row>
    <row r="55" spans="1:11" ht="15.75" customHeight="1" x14ac:dyDescent="0.25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</row>
    <row r="56" spans="1:11" ht="15.75" customHeight="1" x14ac:dyDescent="0.25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</row>
    <row r="57" spans="1:11" ht="15" customHeight="1" x14ac:dyDescent="0.25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</row>
    <row r="58" spans="1:11" ht="22.5" customHeight="1" x14ac:dyDescent="0.25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</row>
    <row r="59" spans="1:11" ht="22.5" customHeight="1" x14ac:dyDescent="0.25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</row>
    <row r="60" spans="1:11" ht="23.25" thickBot="1" x14ac:dyDescent="0.3">
      <c r="A60" s="111" t="s">
        <v>113</v>
      </c>
      <c r="B60" s="111"/>
      <c r="C60" s="111"/>
      <c r="D60" s="111"/>
      <c r="E60" s="111"/>
      <c r="F60" s="111"/>
      <c r="G60" s="111"/>
      <c r="H60" s="111"/>
      <c r="I60" s="111"/>
      <c r="J60" s="111"/>
      <c r="K60" s="111"/>
    </row>
    <row r="61" spans="1:11" ht="21.75" thickTop="1" x14ac:dyDescent="0.25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1:11" ht="28.5" x14ac:dyDescent="0.25">
      <c r="A62" s="117" t="s">
        <v>108</v>
      </c>
      <c r="B62" s="117"/>
      <c r="C62" s="117"/>
      <c r="D62" s="117"/>
      <c r="E62" s="117"/>
      <c r="F62" s="117"/>
      <c r="G62" s="117"/>
      <c r="H62" s="117"/>
      <c r="I62" s="117"/>
      <c r="J62" s="117"/>
      <c r="K62" s="69"/>
    </row>
    <row r="63" spans="1:11" ht="22.5" customHeight="1" x14ac:dyDescent="0.25">
      <c r="A63" s="118" t="s">
        <v>110</v>
      </c>
      <c r="B63" s="118"/>
      <c r="C63" s="118"/>
      <c r="D63" s="118"/>
      <c r="E63" s="118"/>
      <c r="F63" s="118"/>
      <c r="G63" s="118"/>
      <c r="H63" s="118"/>
      <c r="I63" s="118"/>
      <c r="J63" s="118"/>
      <c r="K63" s="118"/>
    </row>
    <row r="64" spans="1:11" ht="36" customHeight="1" x14ac:dyDescent="0.25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</row>
    <row r="65" spans="1:12" ht="22.5" customHeight="1" x14ac:dyDescent="0.25">
      <c r="A65" s="118" t="s">
        <v>111</v>
      </c>
      <c r="B65" s="118"/>
      <c r="C65" s="118"/>
      <c r="D65" s="118"/>
      <c r="E65" s="118"/>
      <c r="F65" s="118"/>
      <c r="G65" s="118"/>
      <c r="H65" s="118"/>
      <c r="I65" s="118"/>
      <c r="J65" s="118"/>
      <c r="K65" s="118"/>
    </row>
    <row r="66" spans="1:12" ht="37.5" customHeight="1" x14ac:dyDescent="0.25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</row>
    <row r="67" spans="1:12" ht="22.5" customHeight="1" x14ac:dyDescent="0.25">
      <c r="A67" s="118" t="s">
        <v>112</v>
      </c>
      <c r="B67" s="119"/>
      <c r="C67" s="119"/>
      <c r="D67" s="119"/>
      <c r="E67" s="119"/>
      <c r="F67" s="119"/>
      <c r="G67" s="119"/>
      <c r="H67" s="119"/>
      <c r="I67" s="119"/>
      <c r="J67" s="119"/>
      <c r="K67" s="119"/>
    </row>
    <row r="68" spans="1:12" ht="47.25" customHeight="1" x14ac:dyDescent="0.25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</row>
    <row r="69" spans="1:12" ht="22.5" customHeight="1" x14ac:dyDescent="0.25">
      <c r="A69" s="115" t="s">
        <v>107</v>
      </c>
      <c r="B69" s="116"/>
      <c r="C69" s="116"/>
      <c r="D69" s="116"/>
      <c r="E69" s="116"/>
      <c r="F69" s="116"/>
      <c r="G69" s="116"/>
      <c r="H69" s="116"/>
      <c r="I69" s="116"/>
      <c r="J69" s="116"/>
      <c r="K69" s="116"/>
    </row>
    <row r="70" spans="1:12" ht="63" customHeight="1" x14ac:dyDescent="0.25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</row>
    <row r="71" spans="1:12" ht="22.5" customHeight="1" x14ac:dyDescent="0.25">
      <c r="B71" s="64"/>
      <c r="C71" s="64"/>
      <c r="D71" s="64"/>
      <c r="E71" s="64"/>
      <c r="F71" s="64"/>
      <c r="G71" s="64"/>
      <c r="H71" s="64"/>
      <c r="I71" s="64"/>
      <c r="J71" s="64"/>
      <c r="K71" s="64"/>
    </row>
    <row r="72" spans="1:12" ht="15" customHeight="1" x14ac:dyDescent="0.25">
      <c r="A72" s="102" t="s">
        <v>115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</row>
    <row r="73" spans="1:12" ht="15" customHeight="1" x14ac:dyDescent="0.25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</row>
    <row r="76" spans="1:12" x14ac:dyDescent="0.25">
      <c r="A76" s="33"/>
      <c r="D76"/>
      <c r="F76"/>
      <c r="H76"/>
    </row>
    <row r="77" spans="1:12" x14ac:dyDescent="0.25">
      <c r="A77" s="33"/>
      <c r="D77"/>
      <c r="F77"/>
      <c r="H77"/>
    </row>
    <row r="78" spans="1:12" x14ac:dyDescent="0.25">
      <c r="A78" s="33"/>
      <c r="D78"/>
      <c r="F78"/>
      <c r="H78"/>
    </row>
    <row r="79" spans="1:12" x14ac:dyDescent="0.25">
      <c r="A79" s="33"/>
      <c r="D79"/>
      <c r="F79"/>
      <c r="H79"/>
    </row>
    <row r="80" spans="1:12" x14ac:dyDescent="0.25">
      <c r="A80" s="33"/>
      <c r="D80"/>
      <c r="F80"/>
      <c r="H80"/>
      <c r="I80" s="45"/>
    </row>
    <row r="81" spans="1:11" x14ac:dyDescent="0.25">
      <c r="A81" s="33"/>
      <c r="D81"/>
      <c r="F81"/>
      <c r="H81"/>
      <c r="I81" s="42"/>
    </row>
    <row r="82" spans="1:11" x14ac:dyDescent="0.25">
      <c r="A82" s="44"/>
      <c r="B82" s="60"/>
      <c r="D82"/>
      <c r="F82"/>
      <c r="H82"/>
    </row>
    <row r="84" spans="1:11" ht="22.5" x14ac:dyDescent="0.25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</row>
    <row r="85" spans="1:11" ht="22.5" x14ac:dyDescent="0.2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</row>
    <row r="86" spans="1:11" ht="22.5" x14ac:dyDescent="0.25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</row>
    <row r="87" spans="1:11" ht="22.5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</row>
    <row r="88" spans="1:11" ht="22.5" x14ac:dyDescent="0.25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</row>
    <row r="89" spans="1:11" ht="22.5" x14ac:dyDescent="0.25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</row>
    <row r="90" spans="1:11" ht="22.5" x14ac:dyDescent="0.25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</row>
    <row r="91" spans="1:11" ht="22.5" x14ac:dyDescent="0.25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</row>
    <row r="92" spans="1:11" ht="22.5" x14ac:dyDescent="0.25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</row>
    <row r="93" spans="1:11" ht="22.5" x14ac:dyDescent="0.25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</row>
    <row r="94" spans="1:11" ht="22.5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</row>
    <row r="95" spans="1:11" ht="22.5" x14ac:dyDescent="0.2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</row>
    <row r="96" spans="1:11" ht="22.5" x14ac:dyDescent="0.25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</row>
    <row r="97" spans="1:11" ht="22.5" x14ac:dyDescent="0.25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</row>
    <row r="98" spans="1:11" ht="22.5" x14ac:dyDescent="0.25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</row>
    <row r="99" spans="1:11" ht="22.5" x14ac:dyDescent="0.25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</row>
    <row r="100" spans="1:11" ht="22.5" x14ac:dyDescent="0.25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</row>
    <row r="101" spans="1:11" ht="22.5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</row>
    <row r="102" spans="1:11" ht="22.5" x14ac:dyDescent="0.25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</row>
    <row r="103" spans="1:11" ht="22.5" x14ac:dyDescent="0.25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</row>
    <row r="104" spans="1:11" ht="22.5" x14ac:dyDescent="0.25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</row>
    <row r="105" spans="1:11" ht="22.5" x14ac:dyDescent="0.2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</row>
    <row r="106" spans="1:11" ht="22.5" x14ac:dyDescent="0.25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</row>
    <row r="107" spans="1:11" ht="22.5" x14ac:dyDescent="0.25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</row>
    <row r="108" spans="1:11" ht="22.5" x14ac:dyDescent="0.25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</row>
    <row r="109" spans="1:11" ht="22.5" x14ac:dyDescent="0.25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</row>
    <row r="110" spans="1:11" ht="22.5" x14ac:dyDescent="0.25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</row>
    <row r="111" spans="1:11" ht="22.5" x14ac:dyDescent="0.25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</row>
    <row r="112" spans="1:11" ht="22.5" x14ac:dyDescent="0.25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</row>
    <row r="113" spans="1:11" ht="22.5" x14ac:dyDescent="0.25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</row>
    <row r="114" spans="1:11" ht="22.5" x14ac:dyDescent="0.25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</row>
    <row r="115" spans="1:11" ht="22.5" x14ac:dyDescent="0.2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</row>
    <row r="116" spans="1:11" ht="22.5" x14ac:dyDescent="0.25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</row>
    <row r="117" spans="1:11" ht="22.5" x14ac:dyDescent="0.25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</row>
    <row r="118" spans="1:11" ht="22.5" x14ac:dyDescent="0.25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</row>
    <row r="119" spans="1:11" ht="22.5" x14ac:dyDescent="0.25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</row>
    <row r="120" spans="1:11" ht="22.5" x14ac:dyDescent="0.25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</row>
    <row r="121" spans="1:11" ht="22.5" x14ac:dyDescent="0.25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</row>
    <row r="122" spans="1:11" ht="22.5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</row>
    <row r="123" spans="1:11" ht="22.5" x14ac:dyDescent="0.25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</row>
    <row r="124" spans="1:11" ht="22.5" x14ac:dyDescent="0.25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</row>
    <row r="125" spans="1:11" ht="22.5" x14ac:dyDescent="0.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</row>
    <row r="126" spans="1:11" ht="22.5" x14ac:dyDescent="0.25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</row>
    <row r="127" spans="1:11" ht="22.5" x14ac:dyDescent="0.25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</row>
    <row r="128" spans="1:11" ht="22.5" x14ac:dyDescent="0.25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</row>
    <row r="129" spans="1:11" ht="22.5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</row>
    <row r="130" spans="1:11" ht="22.5" x14ac:dyDescent="0.25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</row>
    <row r="131" spans="1:11" ht="22.5" x14ac:dyDescent="0.25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</row>
    <row r="132" spans="1:11" ht="22.5" x14ac:dyDescent="0.25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</row>
    <row r="133" spans="1:11" ht="22.5" x14ac:dyDescent="0.25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</row>
    <row r="134" spans="1:11" ht="22.5" x14ac:dyDescent="0.25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</row>
    <row r="135" spans="1:11" ht="22.5" x14ac:dyDescent="0.2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</row>
    <row r="136" spans="1:11" ht="22.5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</row>
    <row r="137" spans="1:11" ht="22.5" x14ac:dyDescent="0.25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</row>
    <row r="138" spans="1:11" ht="22.5" x14ac:dyDescent="0.25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</row>
    <row r="139" spans="1:11" ht="22.5" x14ac:dyDescent="0.25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</row>
    <row r="140" spans="1:11" ht="22.5" x14ac:dyDescent="0.25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</row>
    <row r="141" spans="1:11" ht="22.5" x14ac:dyDescent="0.25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</row>
    <row r="142" spans="1:11" ht="22.5" x14ac:dyDescent="0.25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</row>
    <row r="143" spans="1:11" ht="22.5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</row>
    <row r="144" spans="1:11" ht="22.5" x14ac:dyDescent="0.25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</row>
    <row r="145" spans="1:11" ht="22.5" x14ac:dyDescent="0.2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</row>
    <row r="146" spans="1:11" ht="22.5" x14ac:dyDescent="0.25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</row>
    <row r="147" spans="1:11" ht="22.5" x14ac:dyDescent="0.25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</row>
    <row r="148" spans="1:11" ht="22.5" x14ac:dyDescent="0.25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</row>
    <row r="149" spans="1:11" ht="22.5" x14ac:dyDescent="0.25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</row>
    <row r="150" spans="1:11" ht="22.5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</row>
    <row r="151" spans="1:11" ht="22.5" x14ac:dyDescent="0.25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</row>
    <row r="152" spans="1:11" ht="22.5" x14ac:dyDescent="0.25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</row>
    <row r="153" spans="1:11" ht="22.5" x14ac:dyDescent="0.25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</row>
    <row r="154" spans="1:11" ht="22.5" x14ac:dyDescent="0.25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</row>
    <row r="155" spans="1:11" ht="22.5" x14ac:dyDescent="0.2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</row>
    <row r="156" spans="1:11" ht="22.5" x14ac:dyDescent="0.25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</row>
    <row r="157" spans="1:11" ht="22.5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</row>
    <row r="158" spans="1:11" ht="22.5" x14ac:dyDescent="0.25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</row>
    <row r="159" spans="1:11" ht="22.5" x14ac:dyDescent="0.25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</row>
    <row r="160" spans="1:11" ht="22.5" x14ac:dyDescent="0.25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</row>
    <row r="161" spans="1:11" ht="22.5" x14ac:dyDescent="0.25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</row>
    <row r="162" spans="1:11" ht="22.5" x14ac:dyDescent="0.25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</row>
    <row r="163" spans="1:11" ht="22.5" x14ac:dyDescent="0.25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</row>
    <row r="164" spans="1:11" ht="22.5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</row>
    <row r="165" spans="1:11" ht="22.5" x14ac:dyDescent="0.2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</row>
    <row r="166" spans="1:11" ht="22.5" x14ac:dyDescent="0.25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</row>
    <row r="167" spans="1:11" ht="22.5" x14ac:dyDescent="0.25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</row>
    <row r="168" spans="1:11" ht="22.5" x14ac:dyDescent="0.25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</row>
    <row r="169" spans="1:11" ht="22.5" x14ac:dyDescent="0.25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</row>
    <row r="170" spans="1:11" ht="22.5" x14ac:dyDescent="0.25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</row>
    <row r="171" spans="1:11" ht="22.5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</row>
    <row r="172" spans="1:11" ht="22.5" x14ac:dyDescent="0.25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</row>
    <row r="173" spans="1:11" ht="22.5" x14ac:dyDescent="0.25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</row>
    <row r="174" spans="1:11" ht="22.5" x14ac:dyDescent="0.25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</row>
    <row r="175" spans="1:11" ht="22.5" x14ac:dyDescent="0.2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</row>
    <row r="176" spans="1:11" ht="15.75" customHeight="1" x14ac:dyDescent="0.25">
      <c r="A176" s="13"/>
      <c r="B176" s="60"/>
      <c r="C176" s="43"/>
      <c r="D176" s="44"/>
      <c r="E176" s="13"/>
      <c r="F176" s="44"/>
      <c r="G176" s="13"/>
    </row>
    <row r="177" spans="1:7" hidden="1" x14ac:dyDescent="0.25">
      <c r="A177" t="s">
        <v>8</v>
      </c>
      <c r="B177" s="2" t="s">
        <v>9</v>
      </c>
      <c r="C177" s="37" t="s">
        <v>10</v>
      </c>
      <c r="D177" s="33" t="s">
        <v>11</v>
      </c>
      <c r="E177" t="s">
        <v>12</v>
      </c>
      <c r="F177" s="33" t="s">
        <v>39</v>
      </c>
      <c r="G177" t="s">
        <v>40</v>
      </c>
    </row>
    <row r="178" spans="1:7" hidden="1" x14ac:dyDescent="0.25">
      <c r="A178" t="s">
        <v>18</v>
      </c>
      <c r="B178" s="2" t="s">
        <v>19</v>
      </c>
      <c r="C178" s="37">
        <v>271.22000000000003</v>
      </c>
      <c r="D178" s="33">
        <v>290.45</v>
      </c>
      <c r="E178">
        <v>253.44</v>
      </c>
      <c r="F178" s="33">
        <v>37.01</v>
      </c>
      <c r="G178">
        <v>0.14599999999999999</v>
      </c>
    </row>
    <row r="179" spans="1:7" hidden="1" x14ac:dyDescent="0.25">
      <c r="A179" t="s">
        <v>20</v>
      </c>
      <c r="B179" s="2" t="s">
        <v>21</v>
      </c>
      <c r="C179" s="37">
        <v>125.95</v>
      </c>
      <c r="D179" s="33">
        <v>138.32</v>
      </c>
      <c r="E179">
        <v>110.72</v>
      </c>
      <c r="F179" s="33">
        <v>27.6</v>
      </c>
      <c r="G179">
        <v>0.24929999999999999</v>
      </c>
    </row>
    <row r="180" spans="1:7" hidden="1" x14ac:dyDescent="0.25">
      <c r="A180" t="s">
        <v>22</v>
      </c>
      <c r="B180" s="2" t="s">
        <v>21</v>
      </c>
      <c r="C180" s="37">
        <v>63.65</v>
      </c>
      <c r="D180" s="33">
        <v>64.19</v>
      </c>
      <c r="E180">
        <v>62.88</v>
      </c>
      <c r="F180" s="33">
        <v>1.31</v>
      </c>
      <c r="G180">
        <v>2.0799999999999999E-2</v>
      </c>
    </row>
    <row r="181" spans="1:7" hidden="1" x14ac:dyDescent="0.25">
      <c r="A181" t="s">
        <v>15</v>
      </c>
      <c r="B181" s="2" t="s">
        <v>16</v>
      </c>
      <c r="C181" s="37">
        <v>807.02</v>
      </c>
      <c r="D181" s="33">
        <v>923.6</v>
      </c>
      <c r="E181">
        <v>731.55</v>
      </c>
      <c r="F181" s="33">
        <v>192.05</v>
      </c>
      <c r="G181">
        <v>-0.26250000000000001</v>
      </c>
    </row>
    <row r="182" spans="1:7" hidden="1" x14ac:dyDescent="0.25">
      <c r="A182" t="s">
        <v>17</v>
      </c>
      <c r="B182" s="2" t="s">
        <v>16</v>
      </c>
      <c r="C182" s="37">
        <v>1380.4</v>
      </c>
      <c r="D182" s="33">
        <v>1463.6</v>
      </c>
      <c r="E182">
        <v>1304.5999999999999</v>
      </c>
      <c r="F182" s="33">
        <v>159</v>
      </c>
      <c r="G182">
        <v>-0.12189999999999999</v>
      </c>
    </row>
    <row r="183" spans="1:7" x14ac:dyDescent="0.25">
      <c r="A183" s="13"/>
      <c r="B183" s="60"/>
      <c r="C183" s="43"/>
      <c r="D183" s="44"/>
      <c r="E183" s="13"/>
      <c r="F183" s="44"/>
      <c r="G183" s="13"/>
    </row>
    <row r="184" spans="1:7" x14ac:dyDescent="0.25">
      <c r="A184" s="13"/>
      <c r="B184" s="60"/>
      <c r="C184" s="43"/>
      <c r="D184" s="44"/>
      <c r="E184" s="13"/>
      <c r="F184" s="44"/>
      <c r="G184" s="13"/>
    </row>
    <row r="185" spans="1:7" x14ac:dyDescent="0.25">
      <c r="A185" s="13"/>
      <c r="B185" s="60"/>
      <c r="C185" s="43"/>
      <c r="D185" s="44"/>
      <c r="E185" s="13"/>
      <c r="F185" s="44"/>
      <c r="G185" s="13"/>
    </row>
    <row r="186" spans="1:7" ht="15" hidden="1" customHeight="1" x14ac:dyDescent="0.25">
      <c r="A186" s="13"/>
      <c r="B186" s="60"/>
      <c r="C186" s="43"/>
      <c r="D186" s="44"/>
      <c r="E186" s="13"/>
      <c r="F186" s="44"/>
      <c r="G186" s="13"/>
    </row>
    <row r="187" spans="1:7" ht="15" hidden="1" customHeight="1" x14ac:dyDescent="0.25"/>
    <row r="188" spans="1:7" ht="15" hidden="1" customHeight="1" x14ac:dyDescent="0.25"/>
    <row r="189" spans="1:7" ht="15" hidden="1" customHeight="1" x14ac:dyDescent="0.25"/>
    <row r="190" spans="1:7" ht="15" hidden="1" customHeight="1" x14ac:dyDescent="0.25"/>
    <row r="191" spans="1:7" ht="15" hidden="1" customHeight="1" x14ac:dyDescent="0.25"/>
    <row r="194" spans="1:3" ht="15" hidden="1" customHeight="1" x14ac:dyDescent="0.25"/>
    <row r="195" spans="1:3" ht="15" hidden="1" customHeight="1" x14ac:dyDescent="0.25"/>
    <row r="196" spans="1:3" ht="15" hidden="1" customHeight="1" x14ac:dyDescent="0.25"/>
    <row r="197" spans="1:3" ht="15" hidden="1" customHeight="1" x14ac:dyDescent="0.25"/>
    <row r="198" spans="1:3" ht="15" hidden="1" customHeight="1" x14ac:dyDescent="0.25"/>
    <row r="199" spans="1:3" ht="15" hidden="1" customHeight="1" x14ac:dyDescent="0.25"/>
    <row r="200" spans="1:3" ht="15" hidden="1" customHeight="1" x14ac:dyDescent="0.25">
      <c r="A200" s="54"/>
    </row>
    <row r="201" spans="1:3" ht="15" hidden="1" customHeight="1" x14ac:dyDescent="0.25"/>
    <row r="202" spans="1:3" ht="15" hidden="1" customHeight="1" x14ac:dyDescent="0.25"/>
    <row r="203" spans="1:3" ht="15" hidden="1" customHeight="1" x14ac:dyDescent="0.25"/>
    <row r="204" spans="1:3" ht="15" hidden="1" customHeight="1" x14ac:dyDescent="0.25">
      <c r="C204" s="53"/>
    </row>
    <row r="205" spans="1:3" ht="15" hidden="1" customHeight="1" x14ac:dyDescent="0.25"/>
    <row r="206" spans="1:3" ht="15" hidden="1" customHeight="1" x14ac:dyDescent="0.25"/>
  </sheetData>
  <sheetProtection formatCells="0" formatColumns="0" formatRows="0" insertColumns="0" insertRows="0" insertHyperlinks="0" deleteColumns="0" deleteRows="0" sort="0" autoFilter="0" pivotTables="0"/>
  <mergeCells count="29">
    <mergeCell ref="A72:L73"/>
    <mergeCell ref="G36:L45"/>
    <mergeCell ref="A36:F44"/>
    <mergeCell ref="G28:K33"/>
    <mergeCell ref="A28:F33"/>
    <mergeCell ref="A60:K60"/>
    <mergeCell ref="A47:K47"/>
    <mergeCell ref="A48:K59"/>
    <mergeCell ref="A69:K70"/>
    <mergeCell ref="A62:J62"/>
    <mergeCell ref="A67:K68"/>
    <mergeCell ref="A63:K64"/>
    <mergeCell ref="A65:K66"/>
    <mergeCell ref="A26:K26"/>
    <mergeCell ref="A17:K17"/>
    <mergeCell ref="A6:K6"/>
    <mergeCell ref="D3:D4"/>
    <mergeCell ref="C3:C5"/>
    <mergeCell ref="I3:J4"/>
    <mergeCell ref="J1:K1"/>
    <mergeCell ref="J2:K2"/>
    <mergeCell ref="A1:I1"/>
    <mergeCell ref="A2:I2"/>
    <mergeCell ref="G3:G4"/>
    <mergeCell ref="H3:H4"/>
    <mergeCell ref="F3:F4"/>
    <mergeCell ref="A3:A4"/>
    <mergeCell ref="E3:E4"/>
    <mergeCell ref="B3:B4"/>
  </mergeCells>
  <conditionalFormatting sqref="D20:D25">
    <cfRule type="containsText" dxfId="12" priority="12" operator="containsText" text="↓">
      <formula>NOT(ISERROR(SEARCH("↓",D20)))</formula>
    </cfRule>
    <cfRule type="containsText" dxfId="11" priority="13" operator="containsText" text="↑">
      <formula>NOT(ISERROR(SEARCH("↑",D20)))</formula>
    </cfRule>
  </conditionalFormatting>
  <conditionalFormatting sqref="E20:E25">
    <cfRule type="containsText" dxfId="10" priority="5" operator="containsText" text="Bearish">
      <formula>NOT(ISERROR(SEARCH("Bearish",E20)))</formula>
    </cfRule>
    <cfRule type="containsText" dxfId="9" priority="6" operator="containsText" text="Neutral">
      <formula>NOT(ISERROR(SEARCH("Neutral",E20)))</formula>
    </cfRule>
    <cfRule type="containsText" dxfId="8" priority="7" operator="containsText" text="Bullish">
      <formula>NOT(ISERROR(SEARCH("Bullish",E20)))</formula>
    </cfRule>
  </conditionalFormatting>
  <conditionalFormatting sqref="F20:F25">
    <cfRule type="containsText" dxfId="7" priority="8" operator="containsText" text="STRONG HOLD">
      <formula>NOT(ISERROR(SEARCH("STRONG HOLD",F20)))</formula>
    </cfRule>
    <cfRule type="containsText" dxfId="6" priority="9" operator="containsText" text="HOLD &amp; WATCH">
      <formula>NOT(ISERROR(SEARCH("HOLD &amp; WATCH",F20)))</formula>
    </cfRule>
    <cfRule type="containsText" dxfId="5" priority="10" operator="containsText" text="HOLD">
      <formula>NOT(ISERROR(SEARCH("HOLD",F20)))</formula>
    </cfRule>
    <cfRule type="containsText" dxfId="4" priority="11" operator="containsText" text="INCREASE">
      <formula>NOT(ISERROR(SEARCH("INCREASE",F20)))</formula>
    </cfRule>
  </conditionalFormatting>
  <conditionalFormatting sqref="F23">
    <cfRule type="containsText" dxfId="3" priority="1" operator="containsText" text="REDUCE">
      <formula>NOT(ISERROR(SEARCH("REDUCE",F23)))</formula>
    </cfRule>
  </conditionalFormatting>
  <conditionalFormatting sqref="G20:G25">
    <cfRule type="containsText" dxfId="2" priority="2" operator="containsText" text="LOW ★☆☆">
      <formula>NOT(ISERROR(SEARCH("LOW ★☆☆",G20)))</formula>
    </cfRule>
    <cfRule type="containsText" dxfId="1" priority="3" operator="containsText" text="MED ★★☆">
      <formula>NOT(ISERROR(SEARCH("MED ★★☆",G20)))</formula>
    </cfRule>
    <cfRule type="containsText" dxfId="0" priority="4" operator="containsText" text="HIGH ★★★">
      <formula>NOT(ISERROR(SEARCH("HIGH ★★★",G20)))</formula>
    </cfRule>
  </conditionalFormatting>
  <hyperlinks>
    <hyperlink ref="J2:K2" location="'📊 Portfolio Analysis'!A1" display="← Portfolio Analysis" xr:uid="{AD5B3164-43E2-49D1-BA28-3EDFFAA07341}"/>
  </hyperlink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4" operator="containsText" id="{D915B518-E3B0-4398-9F55-543826153B63}">
            <xm:f>NOT(ISERROR(SEARCH("-",C20)))</xm:f>
            <xm:f>"-"</xm:f>
            <x14:dxf>
              <font>
                <color rgb="FFEE0600"/>
              </font>
            </x14:dxf>
          </x14:cfRule>
          <x14:cfRule type="containsText" priority="15" operator="containsText" id="{5D21A3F5-3A72-4744-8BC9-A59507753A83}">
            <xm:f>NOT(ISERROR(SEARCH("+",C20)))</xm:f>
            <xm:f>"+"</xm:f>
            <x14:dxf>
              <font>
                <b/>
                <i val="0"/>
                <color rgb="FF2E7D32"/>
              </font>
            </x14:dxf>
          </x14:cfRule>
          <xm:sqref>C20:C25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3EA67-4979-401E-A4B9-3D27678B6A45}">
  <sheetPr>
    <tabColor rgb="FF1F3864"/>
  </sheetPr>
  <dimension ref="A3:D25"/>
  <sheetViews>
    <sheetView zoomScale="85" zoomScaleNormal="85" workbookViewId="0">
      <selection activeCell="B19" sqref="B19"/>
    </sheetView>
  </sheetViews>
  <sheetFormatPr defaultRowHeight="15" x14ac:dyDescent="0.25"/>
  <cols>
    <col min="1" max="1" width="22.42578125" style="2" customWidth="1"/>
    <col min="2" max="2" width="11.42578125" customWidth="1"/>
    <col min="3" max="3" width="28.140625" customWidth="1"/>
    <col min="4" max="4" width="17" customWidth="1"/>
  </cols>
  <sheetData>
    <row r="3" spans="1:4" x14ac:dyDescent="0.25">
      <c r="A3" s="9" t="s">
        <v>41</v>
      </c>
      <c r="B3" s="5" t="str">
        <f>'📊 Portfolio Analysis'!N1</f>
        <v>Balanced</v>
      </c>
    </row>
    <row r="5" spans="1:4" x14ac:dyDescent="0.25">
      <c r="A5" s="139" t="s">
        <v>42</v>
      </c>
      <c r="B5" s="140"/>
      <c r="C5" s="140"/>
      <c r="D5" s="141"/>
    </row>
    <row r="6" spans="1:4" x14ac:dyDescent="0.25">
      <c r="A6" s="6" t="s">
        <v>43</v>
      </c>
      <c r="B6" s="7" t="s">
        <v>44</v>
      </c>
      <c r="C6" s="7" t="s">
        <v>45</v>
      </c>
      <c r="D6" s="7" t="s">
        <v>46</v>
      </c>
    </row>
    <row r="7" spans="1:4" s="4" customFormat="1" ht="30" x14ac:dyDescent="0.25">
      <c r="A7" s="6" t="str">
        <f>asset_data!B2</f>
        <v>Nippon India Nifty BeES ETF</v>
      </c>
      <c r="B7" s="8">
        <f>IF($B$3="Balanced",30,50)</f>
        <v>30</v>
      </c>
      <c r="C7" s="8">
        <f>IF($B$3="Balanced",13,13)</f>
        <v>13</v>
      </c>
      <c r="D7" s="8">
        <f>IF($B$3="Balanced",3.9,6.5)</f>
        <v>3.9</v>
      </c>
    </row>
    <row r="8" spans="1:4" ht="30" x14ac:dyDescent="0.25">
      <c r="A8" s="6" t="str">
        <f>asset_data!B3</f>
        <v>Nippon India Gold BeES ETF</v>
      </c>
      <c r="B8" s="8">
        <f>IF($B$3="Balanced",25,0)</f>
        <v>25</v>
      </c>
      <c r="C8" s="8">
        <f>IF($B$3="Balanced",7.3,7.3)</f>
        <v>7.3</v>
      </c>
      <c r="D8" s="8">
        <f>IF($B$3="Balanced",1.83,0)</f>
        <v>1.83</v>
      </c>
    </row>
    <row r="9" spans="1:4" x14ac:dyDescent="0.25">
      <c r="A9" s="6" t="str">
        <f>asset_data!B4</f>
        <v>Motilal Oswal Silver ETF</v>
      </c>
      <c r="B9" s="8">
        <f>IF($B$3="Balanced",10,0)</f>
        <v>10</v>
      </c>
      <c r="C9" s="8">
        <f>IF($B$3="Balanced",8.5,8.5)</f>
        <v>8.5</v>
      </c>
      <c r="D9" s="8">
        <f>IF($B$3="Balanced",0.85,0)</f>
        <v>0.85</v>
      </c>
    </row>
    <row r="10" spans="1:4" ht="23.25" customHeight="1" x14ac:dyDescent="0.25">
      <c r="A10" s="6" t="str">
        <f>asset_data!B5</f>
        <v>HDFC Bank Ltd</v>
      </c>
      <c r="B10" s="8">
        <f>IF($B$3="Balanced",20,30)</f>
        <v>20</v>
      </c>
      <c r="C10" s="8">
        <f>IF($B$3="Balanced",14.8,14.8)</f>
        <v>14.8</v>
      </c>
      <c r="D10" s="8">
        <f>IF($B$3="Balanced",2.96,4.44)</f>
        <v>2.96</v>
      </c>
    </row>
    <row r="11" spans="1:4" x14ac:dyDescent="0.25">
      <c r="A11" s="6" t="str">
        <f>asset_data!B6</f>
        <v>Reliance Industries Ltd</v>
      </c>
      <c r="B11" s="8">
        <f>IF($B$3="Balanced",15,20)</f>
        <v>15</v>
      </c>
      <c r="C11" s="8">
        <f>IF($B$3="Balanced",13,13)</f>
        <v>13</v>
      </c>
      <c r="D11" s="8">
        <f>IF($B$3="Balanced",1.95,2.6)</f>
        <v>1.95</v>
      </c>
    </row>
    <row r="12" spans="1:4" x14ac:dyDescent="0.25">
      <c r="A12" s="3"/>
    </row>
    <row r="13" spans="1:4" x14ac:dyDescent="0.25">
      <c r="A13" s="142" t="s">
        <v>47</v>
      </c>
      <c r="B13" s="143"/>
    </row>
    <row r="14" spans="1:4" x14ac:dyDescent="0.25">
      <c r="A14" s="5" t="s">
        <v>48</v>
      </c>
      <c r="B14" s="5">
        <f>IF($B$3="Balanced",11.49,13.54)</f>
        <v>11.49</v>
      </c>
      <c r="D14" s="70"/>
    </row>
    <row r="15" spans="1:4" x14ac:dyDescent="0.25">
      <c r="A15" s="5" t="s">
        <v>49</v>
      </c>
      <c r="B15" s="5">
        <f>IF($B$3="Balanced",0.75,1.09)</f>
        <v>0.75</v>
      </c>
    </row>
    <row r="16" spans="1:4" x14ac:dyDescent="0.25">
      <c r="A16" s="5" t="s">
        <v>50</v>
      </c>
      <c r="B16" s="5">
        <v>5</v>
      </c>
    </row>
    <row r="17" spans="1:4" x14ac:dyDescent="0.25">
      <c r="A17" s="5" t="s">
        <v>51</v>
      </c>
      <c r="B17" s="5">
        <f>IF($B$3="Balanced",35,0)</f>
        <v>35</v>
      </c>
    </row>
    <row r="18" spans="1:4" x14ac:dyDescent="0.25">
      <c r="A18" s="5" t="s">
        <v>52</v>
      </c>
      <c r="B18" s="71" t="str">
        <f>"+" &amp; IF($B$3="Balanced",4.49,6.54)&amp;"%"</f>
        <v>+4.49%</v>
      </c>
    </row>
    <row r="20" spans="1:4" x14ac:dyDescent="0.25">
      <c r="A20" s="50" t="s">
        <v>85</v>
      </c>
    </row>
    <row r="21" spans="1:4" x14ac:dyDescent="0.25">
      <c r="A21" s="47" t="s">
        <v>76</v>
      </c>
      <c r="B21" s="48">
        <v>6.25E-2</v>
      </c>
      <c r="C21" s="48" t="s">
        <v>77</v>
      </c>
      <c r="D21" s="40"/>
    </row>
    <row r="22" spans="1:4" x14ac:dyDescent="0.25">
      <c r="A22" s="47" t="s">
        <v>78</v>
      </c>
      <c r="B22" s="51">
        <v>14.2</v>
      </c>
      <c r="C22" s="48" t="s">
        <v>79</v>
      </c>
      <c r="D22" s="40"/>
    </row>
    <row r="23" spans="1:4" x14ac:dyDescent="0.25">
      <c r="A23" s="47" t="s">
        <v>80</v>
      </c>
      <c r="B23" s="49" t="s">
        <v>81</v>
      </c>
      <c r="C23" s="48" t="s">
        <v>82</v>
      </c>
      <c r="D23" s="40"/>
    </row>
    <row r="24" spans="1:4" x14ac:dyDescent="0.25">
      <c r="A24" s="47" t="s">
        <v>83</v>
      </c>
      <c r="B24" s="51">
        <v>95.07</v>
      </c>
      <c r="C24" s="48" t="s">
        <v>84</v>
      </c>
      <c r="D24" s="40"/>
    </row>
    <row r="25" spans="1:4" x14ac:dyDescent="0.25">
      <c r="A25" s="3"/>
      <c r="B25" s="40"/>
      <c r="C25" s="41"/>
      <c r="D25" s="40"/>
    </row>
  </sheetData>
  <dataConsolidate/>
  <mergeCells count="2">
    <mergeCell ref="A5:D5"/>
    <mergeCell ref="A13:B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3A3FC-EA1B-46FD-8DA2-5E9C04296BA5}">
  <dimension ref="A1:C6"/>
  <sheetViews>
    <sheetView workbookViewId="0">
      <selection activeCell="C4" sqref="C4"/>
    </sheetView>
  </sheetViews>
  <sheetFormatPr defaultRowHeight="15" x14ac:dyDescent="0.25"/>
  <cols>
    <col min="1" max="1" width="26" bestFit="1" customWidth="1"/>
    <col min="2" max="2" width="18.5703125" bestFit="1" customWidth="1"/>
    <col min="3" max="3" width="20" bestFit="1" customWidth="1"/>
  </cols>
  <sheetData>
    <row r="1" spans="1:3" x14ac:dyDescent="0.25">
      <c r="A1" t="s">
        <v>8</v>
      </c>
      <c r="B1" t="s">
        <v>53</v>
      </c>
      <c r="C1" t="s">
        <v>54</v>
      </c>
    </row>
    <row r="2" spans="1:3" x14ac:dyDescent="0.25">
      <c r="A2" t="s">
        <v>18</v>
      </c>
      <c r="B2" s="1">
        <v>30</v>
      </c>
      <c r="C2" s="1">
        <v>50</v>
      </c>
    </row>
    <row r="3" spans="1:3" x14ac:dyDescent="0.25">
      <c r="A3" t="s">
        <v>20</v>
      </c>
      <c r="B3" s="1">
        <v>25</v>
      </c>
      <c r="C3" s="1">
        <v>0</v>
      </c>
    </row>
    <row r="4" spans="1:3" x14ac:dyDescent="0.25">
      <c r="A4" t="s">
        <v>22</v>
      </c>
      <c r="B4" s="1">
        <v>10</v>
      </c>
      <c r="C4" s="1">
        <v>0</v>
      </c>
    </row>
    <row r="5" spans="1:3" x14ac:dyDescent="0.25">
      <c r="A5" t="s">
        <v>15</v>
      </c>
      <c r="B5" s="1">
        <v>20</v>
      </c>
      <c r="C5" s="1">
        <v>30</v>
      </c>
    </row>
    <row r="6" spans="1:3" x14ac:dyDescent="0.25">
      <c r="A6" t="s">
        <v>17</v>
      </c>
      <c r="B6" s="1">
        <v>15</v>
      </c>
      <c r="C6" s="1"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F4429-4DC8-4D7E-9F59-DD05C2853200}">
  <dimension ref="A1:C4"/>
  <sheetViews>
    <sheetView workbookViewId="0">
      <selection activeCell="C1" sqref="C1"/>
    </sheetView>
  </sheetViews>
  <sheetFormatPr defaultRowHeight="15" x14ac:dyDescent="0.25"/>
  <cols>
    <col min="1" max="1" width="14.85546875" bestFit="1" customWidth="1"/>
    <col min="2" max="2" width="13.85546875" bestFit="1" customWidth="1"/>
    <col min="3" max="3" width="15.85546875" bestFit="1" customWidth="1"/>
  </cols>
  <sheetData>
    <row r="1" spans="1:3" x14ac:dyDescent="0.25">
      <c r="A1" t="s">
        <v>9</v>
      </c>
      <c r="B1" t="s">
        <v>55</v>
      </c>
      <c r="C1" t="s">
        <v>56</v>
      </c>
    </row>
    <row r="2" spans="1:3" x14ac:dyDescent="0.25">
      <c r="A2" t="s">
        <v>19</v>
      </c>
      <c r="B2" s="1">
        <v>1</v>
      </c>
      <c r="C2" s="1">
        <v>271.22000000000003</v>
      </c>
    </row>
    <row r="3" spans="1:3" x14ac:dyDescent="0.25">
      <c r="A3" t="s">
        <v>21</v>
      </c>
      <c r="B3" s="1">
        <v>2</v>
      </c>
      <c r="C3" s="1">
        <v>94.8</v>
      </c>
    </row>
    <row r="4" spans="1:3" x14ac:dyDescent="0.25">
      <c r="A4" t="s">
        <v>16</v>
      </c>
      <c r="B4" s="1">
        <v>2</v>
      </c>
      <c r="C4" s="1">
        <v>1093.71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57F1-D56F-4349-A841-5D389561D380}">
  <dimension ref="A1:C6"/>
  <sheetViews>
    <sheetView workbookViewId="0">
      <selection sqref="A1:B6"/>
    </sheetView>
  </sheetViews>
  <sheetFormatPr defaultRowHeight="15" x14ac:dyDescent="0.25"/>
  <cols>
    <col min="1" max="1" width="26" bestFit="1" customWidth="1"/>
    <col min="2" max="2" width="13.7109375" bestFit="1" customWidth="1"/>
    <col min="3" max="3" width="17" bestFit="1" customWidth="1"/>
  </cols>
  <sheetData>
    <row r="1" spans="1:3" x14ac:dyDescent="0.25">
      <c r="A1" t="s">
        <v>8</v>
      </c>
      <c r="B1" t="s">
        <v>39</v>
      </c>
      <c r="C1" t="s">
        <v>57</v>
      </c>
    </row>
    <row r="2" spans="1:3" x14ac:dyDescent="0.25">
      <c r="A2" t="s">
        <v>15</v>
      </c>
      <c r="B2" s="1">
        <v>192.05</v>
      </c>
      <c r="C2" t="s">
        <v>58</v>
      </c>
    </row>
    <row r="3" spans="1:3" x14ac:dyDescent="0.25">
      <c r="A3" t="s">
        <v>17</v>
      </c>
      <c r="B3" s="1">
        <v>159</v>
      </c>
      <c r="C3" t="s">
        <v>59</v>
      </c>
    </row>
    <row r="4" spans="1:3" x14ac:dyDescent="0.25">
      <c r="A4" t="s">
        <v>18</v>
      </c>
      <c r="B4" s="1">
        <v>37.01</v>
      </c>
      <c r="C4" t="s">
        <v>60</v>
      </c>
    </row>
    <row r="5" spans="1:3" x14ac:dyDescent="0.25">
      <c r="A5" t="s">
        <v>20</v>
      </c>
      <c r="B5" s="1">
        <v>27.6</v>
      </c>
      <c r="C5" t="s">
        <v>61</v>
      </c>
    </row>
    <row r="6" spans="1:3" x14ac:dyDescent="0.25">
      <c r="A6" t="s">
        <v>22</v>
      </c>
      <c r="B6" s="1">
        <v>1.31</v>
      </c>
      <c r="C6" t="s">
        <v>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3BBE8-CAFA-4F4B-8874-048A093AFBBD}">
  <dimension ref="A1:C3"/>
  <sheetViews>
    <sheetView workbookViewId="0">
      <selection activeCell="F9" sqref="F9"/>
    </sheetView>
  </sheetViews>
  <sheetFormatPr defaultRowHeight="15" x14ac:dyDescent="0.25"/>
  <cols>
    <col min="1" max="1" width="16.28515625" bestFit="1" customWidth="1"/>
    <col min="2" max="2" width="26.42578125" bestFit="1" customWidth="1"/>
    <col min="3" max="3" width="26" bestFit="1" customWidth="1"/>
  </cols>
  <sheetData>
    <row r="1" spans="1:3" x14ac:dyDescent="0.25">
      <c r="A1" t="s">
        <v>63</v>
      </c>
      <c r="B1" t="s">
        <v>64</v>
      </c>
      <c r="C1" t="s">
        <v>65</v>
      </c>
    </row>
    <row r="2" spans="1:3" x14ac:dyDescent="0.25">
      <c r="A2" t="s">
        <v>1</v>
      </c>
      <c r="B2" s="1">
        <v>11.49</v>
      </c>
      <c r="C2" s="1">
        <v>0.74750000000000005</v>
      </c>
    </row>
    <row r="3" spans="1:3" x14ac:dyDescent="0.25">
      <c r="A3" t="s">
        <v>66</v>
      </c>
      <c r="B3" s="1">
        <v>13.54</v>
      </c>
      <c r="C3" s="1">
        <v>1.0900000000000001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E1605-F9B9-4B66-B6DA-BE25C99279A0}">
  <dimension ref="A1:F11"/>
  <sheetViews>
    <sheetView workbookViewId="0">
      <selection activeCell="G17" sqref="G17"/>
    </sheetView>
  </sheetViews>
  <sheetFormatPr defaultRowHeight="15" x14ac:dyDescent="0.25"/>
  <cols>
    <col min="1" max="1" width="10.7109375" bestFit="1" customWidth="1"/>
    <col min="2" max="2" width="26" bestFit="1" customWidth="1"/>
    <col min="3" max="3" width="7.28515625" bestFit="1" customWidth="1"/>
    <col min="4" max="4" width="18.28515625" bestFit="1" customWidth="1"/>
    <col min="5" max="5" width="17.42578125" bestFit="1" customWidth="1"/>
    <col min="6" max="6" width="18.42578125" bestFit="1" customWidth="1"/>
  </cols>
  <sheetData>
    <row r="1" spans="1:6" x14ac:dyDescent="0.25">
      <c r="A1" t="s">
        <v>67</v>
      </c>
      <c r="B1" t="s">
        <v>8</v>
      </c>
      <c r="C1" t="s">
        <v>68</v>
      </c>
      <c r="D1" t="s">
        <v>69</v>
      </c>
      <c r="E1" t="s">
        <v>70</v>
      </c>
      <c r="F1" t="s">
        <v>71</v>
      </c>
    </row>
    <row r="2" spans="1:6" x14ac:dyDescent="0.25">
      <c r="A2" t="s">
        <v>1</v>
      </c>
      <c r="B2" t="s">
        <v>18</v>
      </c>
      <c r="C2">
        <v>1</v>
      </c>
      <c r="D2">
        <v>13</v>
      </c>
      <c r="E2">
        <v>30</v>
      </c>
      <c r="F2">
        <v>3.9</v>
      </c>
    </row>
    <row r="3" spans="1:6" x14ac:dyDescent="0.25">
      <c r="A3" t="s">
        <v>1</v>
      </c>
      <c r="B3" t="s">
        <v>20</v>
      </c>
      <c r="C3">
        <v>0.05</v>
      </c>
      <c r="D3">
        <v>7.3</v>
      </c>
      <c r="E3">
        <v>25</v>
      </c>
      <c r="F3">
        <v>1.83</v>
      </c>
    </row>
    <row r="4" spans="1:6" x14ac:dyDescent="0.25">
      <c r="A4" t="s">
        <v>1</v>
      </c>
      <c r="B4" t="s">
        <v>22</v>
      </c>
      <c r="C4">
        <v>0.25</v>
      </c>
      <c r="D4">
        <v>8.5</v>
      </c>
      <c r="E4">
        <v>10</v>
      </c>
      <c r="F4">
        <v>0.85</v>
      </c>
    </row>
    <row r="5" spans="1:6" x14ac:dyDescent="0.25">
      <c r="A5" t="s">
        <v>1</v>
      </c>
      <c r="B5" t="s">
        <v>15</v>
      </c>
      <c r="C5">
        <v>1.3</v>
      </c>
      <c r="D5">
        <v>14.8</v>
      </c>
      <c r="E5">
        <v>20</v>
      </c>
      <c r="F5">
        <v>2.96</v>
      </c>
    </row>
    <row r="6" spans="1:6" x14ac:dyDescent="0.25">
      <c r="A6" t="s">
        <v>1</v>
      </c>
      <c r="B6" t="s">
        <v>17</v>
      </c>
      <c r="C6">
        <v>1</v>
      </c>
      <c r="D6">
        <v>13</v>
      </c>
      <c r="E6">
        <v>15</v>
      </c>
      <c r="F6">
        <v>1.95</v>
      </c>
    </row>
    <row r="7" spans="1:6" x14ac:dyDescent="0.25">
      <c r="A7" t="s">
        <v>66</v>
      </c>
      <c r="B7" t="s">
        <v>18</v>
      </c>
      <c r="C7">
        <v>1</v>
      </c>
      <c r="D7">
        <v>13</v>
      </c>
      <c r="E7">
        <v>50</v>
      </c>
      <c r="F7">
        <v>6.5</v>
      </c>
    </row>
    <row r="8" spans="1:6" x14ac:dyDescent="0.25">
      <c r="A8" t="s">
        <v>66</v>
      </c>
      <c r="B8" t="s">
        <v>20</v>
      </c>
      <c r="C8">
        <v>0.05</v>
      </c>
      <c r="D8">
        <v>7.3</v>
      </c>
      <c r="E8">
        <v>0</v>
      </c>
      <c r="F8">
        <v>0</v>
      </c>
    </row>
    <row r="9" spans="1:6" x14ac:dyDescent="0.25">
      <c r="A9" t="s">
        <v>66</v>
      </c>
      <c r="B9" t="s">
        <v>22</v>
      </c>
      <c r="C9">
        <v>0.25</v>
      </c>
      <c r="D9">
        <v>8.5</v>
      </c>
      <c r="E9">
        <v>0</v>
      </c>
      <c r="F9">
        <v>0</v>
      </c>
    </row>
    <row r="10" spans="1:6" x14ac:dyDescent="0.25">
      <c r="A10" t="s">
        <v>66</v>
      </c>
      <c r="B10" t="s">
        <v>15</v>
      </c>
      <c r="C10">
        <v>1.3</v>
      </c>
      <c r="D10">
        <v>14.8</v>
      </c>
      <c r="E10">
        <v>30</v>
      </c>
      <c r="F10">
        <v>4.4400000000000004</v>
      </c>
    </row>
    <row r="11" spans="1:6" x14ac:dyDescent="0.25">
      <c r="A11" t="s">
        <v>66</v>
      </c>
      <c r="B11" t="s">
        <v>17</v>
      </c>
      <c r="C11">
        <v>1</v>
      </c>
      <c r="D11">
        <v>13</v>
      </c>
      <c r="E11">
        <v>20</v>
      </c>
      <c r="F11">
        <v>2.6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1930-7728-4FB0-B1FD-6DC8CC993BA1}">
  <dimension ref="A1:K6"/>
  <sheetViews>
    <sheetView workbookViewId="0">
      <selection activeCell="C10" sqref="C10"/>
    </sheetView>
  </sheetViews>
  <sheetFormatPr defaultRowHeight="15" x14ac:dyDescent="0.25"/>
  <cols>
    <col min="1" max="1" width="10.5703125" bestFit="1" customWidth="1"/>
    <col min="2" max="2" width="26" bestFit="1" customWidth="1"/>
    <col min="3" max="3" width="14.85546875" bestFit="1" customWidth="1"/>
    <col min="4" max="4" width="17" bestFit="1" customWidth="1"/>
    <col min="5" max="5" width="11.7109375" bestFit="1" customWidth="1"/>
    <col min="6" max="6" width="12.42578125" bestFit="1" customWidth="1"/>
    <col min="7" max="7" width="12.140625" bestFit="1" customWidth="1"/>
    <col min="8" max="8" width="14" bestFit="1" customWidth="1"/>
    <col min="9" max="9" width="12.42578125" bestFit="1" customWidth="1"/>
    <col min="10" max="10" width="15.5703125" bestFit="1" customWidth="1"/>
    <col min="11" max="11" width="17.42578125" bestFit="1" customWidth="1"/>
  </cols>
  <sheetData>
    <row r="1" spans="1:11" x14ac:dyDescent="0.25">
      <c r="A1" t="s">
        <v>72</v>
      </c>
      <c r="B1" t="s">
        <v>8</v>
      </c>
      <c r="C1" t="s">
        <v>9</v>
      </c>
      <c r="D1" t="s">
        <v>57</v>
      </c>
      <c r="E1" t="s">
        <v>10</v>
      </c>
      <c r="F1" t="s">
        <v>11</v>
      </c>
      <c r="G1" t="s">
        <v>12</v>
      </c>
      <c r="H1" t="s">
        <v>73</v>
      </c>
      <c r="I1" t="s">
        <v>74</v>
      </c>
      <c r="J1" t="s">
        <v>75</v>
      </c>
      <c r="K1" t="s">
        <v>70</v>
      </c>
    </row>
    <row r="2" spans="1:11" x14ac:dyDescent="0.25">
      <c r="A2">
        <v>1</v>
      </c>
      <c r="B2" t="s">
        <v>18</v>
      </c>
      <c r="C2" t="s">
        <v>19</v>
      </c>
      <c r="D2" t="s">
        <v>60</v>
      </c>
      <c r="E2" s="1">
        <v>271.22000000000003</v>
      </c>
      <c r="F2" s="1">
        <v>290.45</v>
      </c>
      <c r="G2" s="1">
        <v>253.44</v>
      </c>
      <c r="H2" s="1">
        <v>10000000</v>
      </c>
      <c r="I2" s="1">
        <v>57</v>
      </c>
      <c r="J2" s="1">
        <v>30000</v>
      </c>
      <c r="K2" s="1">
        <v>30</v>
      </c>
    </row>
    <row r="3" spans="1:11" x14ac:dyDescent="0.25">
      <c r="A3">
        <v>2</v>
      </c>
      <c r="B3" t="s">
        <v>20</v>
      </c>
      <c r="C3" t="s">
        <v>21</v>
      </c>
      <c r="D3" t="s">
        <v>61</v>
      </c>
      <c r="E3" s="1">
        <v>125.95</v>
      </c>
      <c r="F3" s="1">
        <v>138.32</v>
      </c>
      <c r="G3" s="1">
        <v>110.72</v>
      </c>
      <c r="H3" s="1">
        <v>50160304</v>
      </c>
      <c r="I3" s="1">
        <v>57</v>
      </c>
      <c r="J3" s="1">
        <v>25000</v>
      </c>
      <c r="K3" s="1">
        <v>25</v>
      </c>
    </row>
    <row r="4" spans="1:11" x14ac:dyDescent="0.25">
      <c r="A4">
        <v>3</v>
      </c>
      <c r="B4" t="s">
        <v>22</v>
      </c>
      <c r="C4" t="s">
        <v>21</v>
      </c>
      <c r="D4" t="s">
        <v>62</v>
      </c>
      <c r="E4" s="1">
        <v>63.65</v>
      </c>
      <c r="F4" s="1">
        <v>64.19</v>
      </c>
      <c r="G4" s="1">
        <v>62.88</v>
      </c>
      <c r="H4" s="1">
        <v>52713</v>
      </c>
      <c r="I4" s="1">
        <v>57</v>
      </c>
      <c r="J4" s="1">
        <v>10000</v>
      </c>
      <c r="K4" s="1">
        <v>10</v>
      </c>
    </row>
    <row r="5" spans="1:11" x14ac:dyDescent="0.25">
      <c r="A5">
        <v>4</v>
      </c>
      <c r="B5" t="s">
        <v>15</v>
      </c>
      <c r="C5" t="s">
        <v>16</v>
      </c>
      <c r="D5" t="s">
        <v>58</v>
      </c>
      <c r="E5" s="1">
        <v>807.02</v>
      </c>
      <c r="F5" s="1">
        <v>923.6</v>
      </c>
      <c r="G5" s="1">
        <v>731.55</v>
      </c>
      <c r="H5" s="1">
        <v>46082512</v>
      </c>
      <c r="I5" s="1">
        <v>57</v>
      </c>
      <c r="J5" s="1">
        <v>20000</v>
      </c>
      <c r="K5" s="1">
        <v>20</v>
      </c>
    </row>
    <row r="6" spans="1:11" x14ac:dyDescent="0.25">
      <c r="A6">
        <v>5</v>
      </c>
      <c r="B6" t="s">
        <v>17</v>
      </c>
      <c r="C6" t="s">
        <v>16</v>
      </c>
      <c r="D6" t="s">
        <v>59</v>
      </c>
      <c r="E6">
        <v>1380.4</v>
      </c>
      <c r="F6" s="1">
        <v>1463.6</v>
      </c>
      <c r="G6" s="1">
        <v>1304.5999999999999</v>
      </c>
      <c r="H6" s="1">
        <v>19000000</v>
      </c>
      <c r="I6" s="1">
        <v>57</v>
      </c>
      <c r="J6" s="1">
        <v>15000</v>
      </c>
      <c r="K6" s="1">
        <v>15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86E8-A8D2-4FF9-ADE2-211A7858AC4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1CFBF-494B-412C-ACD0-BD532D0A69F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4844F8-6D30-4C12-8F1F-E07C72EF55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📊 Portfolio Analysis</vt:lpstr>
      <vt:lpstr>AI Signal Engine</vt:lpstr>
      <vt:lpstr>HELPER</vt:lpstr>
      <vt:lpstr>2 CASES</vt:lpstr>
      <vt:lpstr>etf_vs_stock</vt:lpstr>
      <vt:lpstr>SECTOR</vt:lpstr>
      <vt:lpstr>scenario_summary</vt:lpstr>
      <vt:lpstr>PORTFOLIO WACC</vt:lpstr>
      <vt:lpstr>asset_data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Vibhuti Bhardwaj</dc:creator>
  <cp:keywords/>
  <dc:description/>
  <cp:lastModifiedBy>Vibhuti Bhardwaj</cp:lastModifiedBy>
  <cp:revision/>
  <dcterms:created xsi:type="dcterms:W3CDTF">2026-05-23T07:57:00Z</dcterms:created>
  <dcterms:modified xsi:type="dcterms:W3CDTF">2026-05-28T09:09:10Z</dcterms:modified>
  <cp:category/>
  <cp:contentStatus/>
</cp:coreProperties>
</file>